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F:\"/>
    </mc:Choice>
  </mc:AlternateContent>
  <xr:revisionPtr revIDLastSave="0" documentId="13_ncr:1_{AC59DE53-C8A0-4014-8710-3785B9B0BB67}" xr6:coauthVersionLast="47" xr6:coauthVersionMax="47" xr10:uidLastSave="{00000000-0000-0000-0000-000000000000}"/>
  <bookViews>
    <workbookView xWindow="-120" yWindow="-120" windowWidth="29040" windowHeight="15840" tabRatio="500" xr2:uid="{00000000-000D-0000-FFFF-FFFF00000000}"/>
  </bookViews>
  <sheets>
    <sheet name="Work" sheetId="3" r:id="rId1"/>
  </sheets>
  <definedNames>
    <definedName name="_xlnm._FilterDatabase" localSheetId="0">Work!$A$1:$H$22</definedName>
    <definedName name="B_Critical">OFFSET([0]!Build_Number,49,0)</definedName>
    <definedName name="Blocker">OFFSET([0]!Build_Number,48,0)</definedName>
    <definedName name="Browser_list">#REF!</definedName>
    <definedName name="Build_Number">OFFSET(#REF!,0,0,1,COUNTA(#REF!)-2)</definedName>
    <definedName name="Defects_Total">OFFSET([0]!Build_Number,26,0)</definedName>
    <definedName name="Environment_OS">#REF!</definedName>
    <definedName name="Major">OFFSET([0]!Build_Number,50,0)</definedName>
    <definedName name="Minor">OFFSET([0]!Build_Number,51,0)</definedName>
    <definedName name="Project_URL">#REF!</definedName>
    <definedName name="Quality">OFFSET([0]!Build_Number,8,0)</definedName>
    <definedName name="Quality_range">#REF!</definedName>
    <definedName name="Size">OFFSET([0]!Build_Number,6,0)</definedName>
    <definedName name="Test_coverage">#REF!</definedName>
    <definedName name="Test_status">#REF!</definedName>
    <definedName name="Test_Team">#REF!</definedName>
    <definedName name="Test_types">#REF!</definedName>
    <definedName name="Trivial">OFFSET([0]!Build_Number,52,0)</definedName>
  </definedNames>
  <calcPr calcId="191029"/>
  <fileRecoveryPr repairLoad="1"/>
  <extLst>
    <ext xmlns:loext="http://schemas.libreoffice.org/" uri="{7626C862-2A13-11E5-B345-FEFF819CDC9F}">
      <loext:extCalcPr stringRefSyntax="ExcelA1"/>
    </ext>
  </extLst>
</workbook>
</file>

<file path=xl/calcChain.xml><?xml version="1.0" encoding="utf-8"?>
<calcChain xmlns="http://schemas.openxmlformats.org/spreadsheetml/2006/main">
  <c r="E19" i="3" l="1"/>
  <c r="E18" i="3"/>
  <c r="E17" i="3"/>
  <c r="E16" i="3"/>
  <c r="E15" i="3"/>
  <c r="E14" i="3"/>
  <c r="E13" i="3"/>
  <c r="E12" i="3"/>
  <c r="E11" i="3"/>
  <c r="E10" i="3"/>
  <c r="E20" i="3"/>
  <c r="E9" i="3" l="1"/>
  <c r="G15" i="3" s="1"/>
  <c r="G16" i="3" l="1"/>
  <c r="G17"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200-000001000000}">
      <text>
        <r>
          <rPr>
            <sz val="9"/>
            <color rgb="FF000000"/>
            <rFont val="Tahoma"/>
            <family val="2"/>
            <charset val="204"/>
          </rPr>
          <t>required</t>
        </r>
      </text>
    </comment>
    <comment ref="D2" authorId="0" shapeId="0" xr:uid="{00000000-0006-0000-0200-000002000000}">
      <text>
        <r>
          <rPr>
            <sz val="9"/>
            <color rgb="FF000000"/>
            <rFont val="Tahoma"/>
            <family val="2"/>
            <charset val="204"/>
          </rPr>
          <t>required</t>
        </r>
      </text>
    </comment>
    <comment ref="D3" authorId="0" shapeId="0" xr:uid="{00000000-0006-0000-0200-000003000000}">
      <text>
        <r>
          <rPr>
            <sz val="9"/>
            <color rgb="FF000000"/>
            <rFont val="Tahoma"/>
            <family val="2"/>
            <charset val="204"/>
          </rPr>
          <t>required</t>
        </r>
      </text>
    </comment>
    <comment ref="D4" authorId="0" shapeId="0" xr:uid="{00000000-0006-0000-0200-000004000000}">
      <text>
        <r>
          <rPr>
            <sz val="9"/>
            <color rgb="FF000000"/>
            <rFont val="Tahoma"/>
            <family val="2"/>
            <charset val="204"/>
          </rPr>
          <t>required</t>
        </r>
      </text>
    </comment>
    <comment ref="D5" authorId="0" shapeId="0" xr:uid="{00000000-0006-0000-0200-000005000000}">
      <text>
        <r>
          <rPr>
            <sz val="9"/>
            <color rgb="FF000000"/>
            <rFont val="Tahoma"/>
            <family val="2"/>
            <charset val="204"/>
          </rPr>
          <t>required</t>
        </r>
      </text>
    </comment>
  </commentList>
</comments>
</file>

<file path=xl/sharedStrings.xml><?xml version="1.0" encoding="utf-8"?>
<sst xmlns="http://schemas.openxmlformats.org/spreadsheetml/2006/main" count="433" uniqueCount="164">
  <si>
    <t>Test type</t>
  </si>
  <si>
    <t>AT</t>
  </si>
  <si>
    <t>Test date</t>
  </si>
  <si>
    <t>Tester</t>
  </si>
  <si>
    <t>Browser</t>
  </si>
  <si>
    <t>Critical</t>
  </si>
  <si>
    <t>Major</t>
  </si>
  <si>
    <t>Average</t>
  </si>
  <si>
    <t>Minor</t>
  </si>
  <si>
    <t>Enhancement</t>
  </si>
  <si>
    <t>OK</t>
  </si>
  <si>
    <t>Partially tested</t>
  </si>
  <si>
    <t>Not available</t>
  </si>
  <si>
    <t>Not implemented</t>
  </si>
  <si>
    <t>Not tested</t>
  </si>
  <si>
    <t>Build number</t>
  </si>
  <si>
    <t>M. Matievskaya</t>
  </si>
  <si>
    <t>IE 9</t>
  </si>
  <si>
    <t>Module</t>
  </si>
  <si>
    <t>Description</t>
  </si>
  <si>
    <t>1.0.1</t>
  </si>
  <si>
    <t>Project Environment</t>
  </si>
  <si>
    <t>http://projectx_live.com</t>
  </si>
  <si>
    <t>Operating System</t>
  </si>
  <si>
    <t>iPhone 5</t>
  </si>
  <si>
    <t>Test Cases Statistics</t>
  </si>
  <si>
    <t>Total Test Cases Run</t>
  </si>
  <si>
    <t>Total Time Spent, h</t>
  </si>
  <si>
    <t>Test Type</t>
  </si>
  <si>
    <t>Functionality</t>
  </si>
  <si>
    <t>Actions</t>
  </si>
  <si>
    <t>Expected Result</t>
  </si>
  <si>
    <t>Result</t>
  </si>
  <si>
    <t>Comment</t>
  </si>
  <si>
    <t>Time Spent, min (No need to count)</t>
  </si>
  <si>
    <t>Smoke</t>
  </si>
  <si>
    <t>f2.chowdhury</t>
  </si>
  <si>
    <t>MAT</t>
  </si>
  <si>
    <t xml:space="preserve"> MAT</t>
  </si>
  <si>
    <t>Main page</t>
  </si>
  <si>
    <t>Perform check of the contents</t>
  </si>
  <si>
    <t>All the content is displayed</t>
  </si>
  <si>
    <t xml:space="preserve">Perform check of spelling </t>
  </si>
  <si>
    <t>Spelling is okay</t>
  </si>
  <si>
    <t>Perform check of if cart can view</t>
  </si>
  <si>
    <t>Cart is viewed</t>
  </si>
  <si>
    <t>Perform check of if menu category tab is displayed</t>
  </si>
  <si>
    <t>Menu category tab is displayed</t>
  </si>
  <si>
    <t>Perform check of footer</t>
  </si>
  <si>
    <t>Footer is displayed</t>
  </si>
  <si>
    <t>Weight loss calculator</t>
  </si>
  <si>
    <t>Perform check of allignment of input fields</t>
  </si>
  <si>
    <t>All the input fields is allign</t>
  </si>
  <si>
    <t>Perform check of button allignment</t>
  </si>
  <si>
    <t>Button is allign</t>
  </si>
  <si>
    <t>Perform check of input field dropdown</t>
  </si>
  <si>
    <t>Dropdown is working</t>
  </si>
  <si>
    <t>Perform check of weight loss speed input field</t>
  </si>
  <si>
    <t>input field should be empty</t>
  </si>
  <si>
    <t>Perform check of Calculate my calorie need with empty input field</t>
  </si>
  <si>
    <t>Error message is displayed</t>
  </si>
  <si>
    <t>Perform Check of maximum limit of weight loss speed</t>
  </si>
  <si>
    <t>25 kg/week is displayed</t>
  </si>
  <si>
    <t>Perform check of  giving less than limit value in input field</t>
  </si>
  <si>
    <t>Perform check of refresh the page with data in input field</t>
  </si>
  <si>
    <t>All the data is store</t>
  </si>
  <si>
    <t>Perform check of Calculation of maintance calorie</t>
  </si>
  <si>
    <t>Calculation is okay</t>
  </si>
  <si>
    <t>Perform check of Calculation of weight loss calorie</t>
  </si>
  <si>
    <t>Calculation is incorrect</t>
  </si>
  <si>
    <t>Perform check of availability of Calculate my calorie needs button</t>
  </si>
  <si>
    <t>The Button is displayed</t>
  </si>
  <si>
    <t>Perform check of availability of set limit  button</t>
  </si>
  <si>
    <t>Perform check of if Calculate my calorie needs button is clickable</t>
  </si>
  <si>
    <t>Button is clickable</t>
  </si>
  <si>
    <t>Perform check of if set limit button is clickable</t>
  </si>
  <si>
    <t>Perform check of time to reach goal calculation</t>
  </si>
  <si>
    <t xml:space="preserve">            Weekly menu planner</t>
  </si>
  <si>
    <t>Perform check of if all days is displayed</t>
  </si>
  <si>
    <t>All days is displayed</t>
  </si>
  <si>
    <t>Perform check of availability of Calculate weekly calories button</t>
  </si>
  <si>
    <t>Perform check of availability of Clear planner button</t>
  </si>
  <si>
    <t>Perform check of if Calculate weekly calories button is clickable</t>
  </si>
  <si>
    <t>Perform check of if clear planner button is clickable</t>
  </si>
  <si>
    <t>Perform check of availability of add random meals button</t>
  </si>
  <si>
    <t>Perform check of if add random meals  button is clickable</t>
  </si>
  <si>
    <t xml:space="preserve">Perform check of after click  of add random meals  button </t>
  </si>
  <si>
    <t>Food is added</t>
  </si>
  <si>
    <t>Perform check of if calories display after add to planner</t>
  </si>
  <si>
    <t>Calories is display</t>
  </si>
  <si>
    <t>Perform check of delete food from any day</t>
  </si>
  <si>
    <t>Food is removed</t>
  </si>
  <si>
    <t xml:space="preserve">Perform check of availability of cross button beside the food </t>
  </si>
  <si>
    <t>Cross button is displayed</t>
  </si>
  <si>
    <t>Perform check of after click Calculate weekly summery button</t>
  </si>
  <si>
    <t>Weekly calories summery displayed</t>
  </si>
  <si>
    <t>Perform check of calories displayed on top of day after adding some foods</t>
  </si>
  <si>
    <t>Total calories is displayed</t>
  </si>
  <si>
    <t>Perform check of calculation of total weekly calories</t>
  </si>
  <si>
    <t>Perform check of if message is relevant in weekly calories summery</t>
  </si>
  <si>
    <t>The message is relevant</t>
  </si>
  <si>
    <t>Perrform check of calculation of average daily calories</t>
  </si>
  <si>
    <t>Perform check of after click clear planner button</t>
  </si>
  <si>
    <t>pop up message is displayed</t>
  </si>
  <si>
    <t>Perform check of popup message after click clear planner</t>
  </si>
  <si>
    <t>pop up message is relevent</t>
  </si>
  <si>
    <t>Perform check of if ok button displayed in popup after click clear planner</t>
  </si>
  <si>
    <t>ok button is displayed</t>
  </si>
  <si>
    <t>Perform check of if cancel button displayed in popup after click clear planner</t>
  </si>
  <si>
    <t>Cancel button is displayed</t>
  </si>
  <si>
    <t>Perform check of if ok button is clickable in popup after click clear planner</t>
  </si>
  <si>
    <t>ok button is clickable</t>
  </si>
  <si>
    <t>Perform check of if cancel button is clickable in popup after click clear planner</t>
  </si>
  <si>
    <t>Cancel button is clickable</t>
  </si>
  <si>
    <t>Perform check of after click ok button to clear planner</t>
  </si>
  <si>
    <t>Planner is removed</t>
  </si>
  <si>
    <t>Perform check of after click cancel button to clear planner</t>
  </si>
  <si>
    <t>Planner is displayed</t>
  </si>
  <si>
    <t xml:space="preserve">               Available meals</t>
  </si>
  <si>
    <t>Perform check of if all the food name is displayed</t>
  </si>
  <si>
    <t xml:space="preserve">Food name is displayed </t>
  </si>
  <si>
    <t>Perform check of if all the food description is displayed</t>
  </si>
  <si>
    <t xml:space="preserve">Food description is displayed </t>
  </si>
  <si>
    <t>Perform check of if all the food price is displayed</t>
  </si>
  <si>
    <t xml:space="preserve">Food price is displayed </t>
  </si>
  <si>
    <t>Perform check of if all the food calories is displayed</t>
  </si>
  <si>
    <t xml:space="preserve">Food calories is displayed </t>
  </si>
  <si>
    <t>Perform check of if all the food spiciness level is displayed</t>
  </si>
  <si>
    <t xml:space="preserve">Food spiciness level is displayed </t>
  </si>
  <si>
    <t>Perform check of if Add to planner button is clickable</t>
  </si>
  <si>
    <t>The button is Clickable</t>
  </si>
  <si>
    <t>Perform check of if Add to planner button is displayed</t>
  </si>
  <si>
    <t>The button is displayed</t>
  </si>
  <si>
    <t>Perform check of if all the food image is displayed</t>
  </si>
  <si>
    <t xml:space="preserve">Food image is displayed </t>
  </si>
  <si>
    <t>Perform check of  all the food information spelling</t>
  </si>
  <si>
    <t>Spelling is correct</t>
  </si>
  <si>
    <t>Perform check of Add to planner button color after click</t>
  </si>
  <si>
    <t>The button turned into green color</t>
  </si>
  <si>
    <t>Perform check of Add to planner button position</t>
  </si>
  <si>
    <t>The button is in the middle and below price</t>
  </si>
  <si>
    <t>Perform check of hover hover the cursor on food</t>
  </si>
  <si>
    <t>It is stable</t>
  </si>
  <si>
    <t>Footer</t>
  </si>
  <si>
    <t>Perform check of content</t>
  </si>
  <si>
    <t>Perform check of spelling of the content</t>
  </si>
  <si>
    <t>All the spelling is okay</t>
  </si>
  <si>
    <t>Perform check of facebook icon button</t>
  </si>
  <si>
    <t>Redirect to facebook link</t>
  </si>
  <si>
    <t>Perform check of Twitter icon button</t>
  </si>
  <si>
    <t>Redirect to twitter link</t>
  </si>
  <si>
    <t>Perform check of Instagram icon button</t>
  </si>
  <si>
    <t>Redirect to instagram link</t>
  </si>
  <si>
    <t>Perform check of add email input field</t>
  </si>
  <si>
    <t>Input can give</t>
  </si>
  <si>
    <t>Perform check of your message input field</t>
  </si>
  <si>
    <t>Perform check of availability of send button</t>
  </si>
  <si>
    <t>Send button is displayed</t>
  </si>
  <si>
    <t>Perform check of after click send button</t>
  </si>
  <si>
    <t>Message is send</t>
  </si>
  <si>
    <t>Perform check of allignment of input field</t>
  </si>
  <si>
    <t>Input fields are allign</t>
  </si>
  <si>
    <t xml:space="preserve">  Menu Planner</t>
  </si>
  <si>
    <t>The Menu Planner tab consists of three sections — Weight Loss Calculator, Weekly Menu Planner, and Available Meals. In the Weight Loss Calculator section, customers enter their current weight, target weight, age, height, gender, and desired weight loss speed. The system then calculates their maintenance calories, weight loss calories, and the estimated time to reach the goal. In the Weekly Menu Planner section, customers can set a daily calorie limit and plan meals for 7 days according to their target calories. They can also view total weekly calories and automatically add random meals to their planner chart. From the Available Meals section, customers can browse food items along with their calorie information and add them directly to their weekly planner.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</si>
</sst>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yy"/>
    <numFmt numFmtId="165" formatCode="[$-809]dd\ mmmm\ yyyy;@"/>
  </numFmts>
  <fonts count="19" x14ac:knownFonts="1">
    <font>
      <sz val="10"/>
      <name val="Arial"/>
      <charset val="204"/>
    </font>
    <font>
      <sz val="11"/>
      <color rgb="FF000000"/>
      <name val="Calibri"/>
      <family val="2"/>
      <charset val="204"/>
    </font>
    <font>
      <sz val="10"/>
      <name val="Arial"/>
      <family val="2"/>
      <charset val="204"/>
    </font>
    <font>
      <sz val="10"/>
      <name val="Arial Cyr"/>
      <charset val="204"/>
    </font>
    <font>
      <sz val="8"/>
      <name val="Arial"/>
      <family val="2"/>
      <charset val="204"/>
    </font>
    <font>
      <sz val="11"/>
      <color rgb="FFFFFFFF"/>
      <name val="Calibri"/>
      <family val="2"/>
      <charset val="1"/>
    </font>
    <font>
      <b/>
      <sz val="9"/>
      <color rgb="FFFFFFFF"/>
      <name val="Arial"/>
      <family val="2"/>
      <charset val="204"/>
    </font>
    <font>
      <b/>
      <sz val="8"/>
      <name val="Arial"/>
      <family val="2"/>
      <charset val="204"/>
    </font>
    <font>
      <sz val="11"/>
      <color rgb="FF006100"/>
      <name val="Calibri"/>
      <family val="2"/>
      <charset val="1"/>
    </font>
    <font>
      <sz val="11"/>
      <color rgb="FF9C6500"/>
      <name val="Calibri"/>
      <family val="2"/>
      <charset val="1"/>
    </font>
    <font>
      <sz val="11"/>
      <color rgb="FF9C0006"/>
      <name val="Calibri"/>
      <family val="2"/>
      <charset val="1"/>
    </font>
    <font>
      <sz val="9"/>
      <color rgb="FF000000"/>
      <name val="Tahoma"/>
      <family val="2"/>
      <charset val="204"/>
    </font>
    <font>
      <b/>
      <sz val="8"/>
      <color rgb="FF000000"/>
      <name val="Arial"/>
      <family val="2"/>
      <charset val="204"/>
    </font>
    <font>
      <sz val="9"/>
      <color rgb="FFFFFFFF"/>
      <name val="Arial"/>
      <family val="2"/>
      <charset val="204"/>
    </font>
    <font>
      <sz val="11"/>
      <color rgb="FF000000"/>
      <name val="Calibri"/>
      <family val="2"/>
      <charset val="1"/>
    </font>
    <font>
      <b/>
      <sz val="9"/>
      <color rgb="FF000000"/>
      <name val="Arial"/>
      <family val="2"/>
      <charset val="204"/>
    </font>
    <font>
      <sz val="9"/>
      <name val="Arial"/>
      <family val="2"/>
      <charset val="204"/>
    </font>
    <font>
      <b/>
      <sz val="8"/>
      <color rgb="FF4D5361"/>
      <name val="Arial"/>
      <family val="2"/>
      <charset val="204"/>
    </font>
    <font>
      <sz val="8"/>
      <name val="Arial"/>
      <family val="2"/>
    </font>
  </fonts>
  <fills count="13">
    <fill>
      <patternFill patternType="none"/>
    </fill>
    <fill>
      <patternFill patternType="gray125"/>
    </fill>
    <fill>
      <patternFill patternType="solid">
        <fgColor rgb="FFE6E0EC"/>
        <bgColor rgb="FFF2F2F2"/>
      </patternFill>
    </fill>
    <fill>
      <patternFill patternType="solid">
        <fgColor rgb="FF8064A2"/>
        <bgColor rgb="FF808080"/>
      </patternFill>
    </fill>
    <fill>
      <patternFill patternType="solid">
        <fgColor rgb="FFC6EFCE"/>
        <bgColor rgb="FFC3DFF9"/>
      </patternFill>
    </fill>
    <fill>
      <patternFill patternType="solid">
        <fgColor rgb="FF9BBB59"/>
        <bgColor rgb="FF8AC181"/>
      </patternFill>
    </fill>
    <fill>
      <patternFill patternType="solid">
        <fgColor rgb="FFFFEB9C"/>
        <bgColor rgb="FFFFFFCC"/>
      </patternFill>
    </fill>
    <fill>
      <patternFill patternType="solid">
        <fgColor rgb="FFF79646"/>
        <bgColor rgb="FFFF8C00"/>
      </patternFill>
    </fill>
    <fill>
      <patternFill patternType="solid">
        <fgColor rgb="FFFFC7CE"/>
        <bgColor rgb="FFD8BFEB"/>
      </patternFill>
    </fill>
    <fill>
      <patternFill patternType="solid">
        <fgColor rgb="FFFFFFFF"/>
        <bgColor rgb="FFF2F2F2"/>
      </patternFill>
    </fill>
    <fill>
      <patternFill patternType="solid">
        <fgColor rgb="FF437381"/>
        <bgColor rgb="FF4A7EBB"/>
      </patternFill>
    </fill>
    <fill>
      <patternFill patternType="solid">
        <fgColor rgb="FF7CACBC"/>
        <bgColor rgb="FF8AC181"/>
      </patternFill>
    </fill>
    <fill>
      <patternFill patternType="solid">
        <fgColor rgb="FFFFFF00"/>
        <bgColor rgb="FFFFF019"/>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diagonal/>
    </border>
    <border>
      <left style="thin">
        <color rgb="FF808080"/>
      </left>
      <right style="thin">
        <color rgb="FF808080"/>
      </right>
      <top/>
      <bottom style="thin">
        <color rgb="FF808080"/>
      </bottom>
      <diagonal/>
    </border>
    <border>
      <left style="thin">
        <color rgb="FF808080"/>
      </left>
      <right/>
      <top style="thin">
        <color rgb="FF808080"/>
      </top>
      <bottom style="thin">
        <color rgb="FF808080"/>
      </bottom>
      <diagonal/>
    </border>
    <border>
      <left/>
      <right style="thin">
        <color rgb="FF808080"/>
      </right>
      <top style="thin">
        <color rgb="FF808080"/>
      </top>
      <bottom style="thin">
        <color rgb="FF808080"/>
      </bottom>
      <diagonal/>
    </border>
  </borders>
  <cellStyleXfs count="12">
    <xf numFmtId="0" fontId="0" fillId="0" borderId="0"/>
    <xf numFmtId="0" fontId="1" fillId="2" borderId="0" applyBorder="0" applyProtection="0"/>
    <xf numFmtId="0" fontId="2" fillId="0" borderId="0"/>
    <xf numFmtId="0" fontId="2" fillId="0" borderId="0"/>
    <xf numFmtId="0" fontId="3" fillId="0" borderId="0"/>
    <xf numFmtId="0" fontId="5" fillId="3" borderId="0" applyBorder="0" applyProtection="0"/>
    <xf numFmtId="0" fontId="8" fillId="4" borderId="0" applyBorder="0" applyProtection="0"/>
    <xf numFmtId="0" fontId="5" fillId="5" borderId="0" applyBorder="0" applyProtection="0"/>
    <xf numFmtId="0" fontId="9" fillId="6" borderId="0" applyBorder="0" applyProtection="0"/>
    <xf numFmtId="0" fontId="5" fillId="7" borderId="0" applyBorder="0" applyProtection="0"/>
    <xf numFmtId="0" fontId="10" fillId="8" borderId="0" applyBorder="0" applyProtection="0"/>
    <xf numFmtId="0" fontId="14" fillId="2" borderId="0" applyBorder="0" applyProtection="0"/>
  </cellStyleXfs>
  <cellXfs count="31">
    <xf numFmtId="0" fontId="0" fillId="0" borderId="0" xfId="0"/>
    <xf numFmtId="0" fontId="6" fillId="10" borderId="1" xfId="5" applyFont="1" applyFill="1" applyBorder="1" applyAlignment="1" applyProtection="1">
      <alignment horizontal="center" vertical="center" wrapText="1"/>
    </xf>
    <xf numFmtId="0" fontId="4" fillId="0" borderId="0" xfId="0" applyFont="1" applyAlignment="1">
      <alignment vertical="center"/>
    </xf>
    <xf numFmtId="0" fontId="4" fillId="0" borderId="1" xfId="4" applyFont="1" applyBorder="1" applyAlignment="1" applyProtection="1">
      <alignment horizontal="center" vertical="center"/>
      <protection locked="0"/>
    </xf>
    <xf numFmtId="0" fontId="4" fillId="0" borderId="0" xfId="0" applyFont="1"/>
    <xf numFmtId="0" fontId="4" fillId="0" borderId="0" xfId="0" applyFont="1" applyAlignment="1">
      <alignment vertical="center" wrapText="1"/>
    </xf>
    <xf numFmtId="0" fontId="4" fillId="0" borderId="1" xfId="0" applyFont="1" applyBorder="1" applyAlignment="1">
      <alignment horizontal="center" vertical="center"/>
    </xf>
    <xf numFmtId="0" fontId="4" fillId="0" borderId="0" xfId="0" applyFont="1" applyAlignment="1">
      <alignment wrapText="1"/>
    </xf>
    <xf numFmtId="0" fontId="6" fillId="10" borderId="1" xfId="5" applyFont="1" applyFill="1" applyBorder="1" applyAlignment="1" applyProtection="1">
      <alignment horizontal="right" vertical="center" wrapText="1"/>
    </xf>
    <xf numFmtId="0" fontId="12" fillId="11" borderId="2" xfId="11" applyFont="1" applyFill="1" applyBorder="1" applyAlignment="1" applyProtection="1">
      <alignment horizontal="right" vertical="center" wrapText="1" shrinkToFit="1"/>
    </xf>
    <xf numFmtId="0" fontId="12" fillId="11" borderId="3" xfId="11" applyFont="1" applyFill="1" applyBorder="1" applyAlignment="1" applyProtection="1">
      <alignment horizontal="right" vertical="center" wrapText="1" shrinkToFit="1"/>
    </xf>
    <xf numFmtId="0" fontId="6" fillId="10" borderId="1" xfId="11" applyFont="1" applyFill="1" applyBorder="1" applyAlignment="1" applyProtection="1">
      <alignment horizontal="center" vertical="center" wrapText="1"/>
    </xf>
    <xf numFmtId="0" fontId="15" fillId="12" borderId="1" xfId="11" applyFont="1" applyFill="1" applyBorder="1" applyAlignment="1" applyProtection="1">
      <alignment horizontal="center" vertical="center" wrapText="1"/>
    </xf>
    <xf numFmtId="0" fontId="16" fillId="0" borderId="0" xfId="0" applyFont="1"/>
    <xf numFmtId="0" fontId="16" fillId="0" borderId="0" xfId="0" applyFont="1" applyAlignment="1">
      <alignment vertical="center"/>
    </xf>
    <xf numFmtId="0" fontId="17" fillId="11" borderId="1" xfId="0" applyFont="1" applyFill="1" applyBorder="1" applyAlignment="1">
      <alignment horizontal="left" vertical="center"/>
    </xf>
    <xf numFmtId="0" fontId="4" fillId="0" borderId="1" xfId="0" applyFont="1" applyBorder="1" applyAlignment="1">
      <alignment vertical="center" wrapText="1"/>
    </xf>
    <xf numFmtId="0" fontId="4" fillId="0" borderId="1" xfId="4" applyFont="1" applyBorder="1" applyAlignment="1">
      <alignment horizontal="left" vertical="top" wrapText="1"/>
    </xf>
    <xf numFmtId="0" fontId="18" fillId="0" borderId="0" xfId="0" applyFont="1" applyAlignment="1">
      <alignment horizontal="center" vertical="center"/>
    </xf>
    <xf numFmtId="0" fontId="18" fillId="0" borderId="2"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center"/>
    </xf>
    <xf numFmtId="0" fontId="7" fillId="9" borderId="5" xfId="5" applyFont="1" applyFill="1" applyBorder="1" applyAlignment="1" applyProtection="1">
      <alignment horizontal="center" vertical="center" wrapText="1"/>
    </xf>
    <xf numFmtId="10" fontId="7" fillId="9" borderId="1" xfId="5" applyNumberFormat="1" applyFont="1" applyFill="1" applyBorder="1" applyAlignment="1" applyProtection="1">
      <alignment horizontal="center" vertical="center" wrapText="1"/>
    </xf>
    <xf numFmtId="0" fontId="7" fillId="9" borderId="1" xfId="5" applyFont="1" applyFill="1" applyBorder="1" applyAlignment="1" applyProtection="1">
      <alignment horizontal="center" vertical="center" wrapText="1"/>
    </xf>
    <xf numFmtId="0" fontId="4" fillId="9" borderId="1" xfId="5" applyFont="1" applyFill="1" applyBorder="1" applyAlignment="1" applyProtection="1">
      <alignment horizontal="center" vertical="center" wrapText="1"/>
    </xf>
    <xf numFmtId="0" fontId="4" fillId="9" borderId="4" xfId="5" applyFont="1" applyFill="1" applyBorder="1" applyAlignment="1" applyProtection="1">
      <alignment horizontal="center" vertical="center" wrapText="1"/>
    </xf>
    <xf numFmtId="0" fontId="6" fillId="10" borderId="1" xfId="5" applyFont="1" applyFill="1" applyBorder="1" applyAlignment="1" applyProtection="1">
      <alignment horizontal="center" vertical="center" wrapText="1"/>
    </xf>
    <xf numFmtId="164" fontId="13" fillId="10" borderId="1" xfId="5" applyNumberFormat="1" applyFont="1" applyFill="1" applyBorder="1" applyAlignment="1" applyProtection="1">
      <alignment horizontal="center" vertical="center" wrapText="1"/>
    </xf>
    <xf numFmtId="165" fontId="13" fillId="10" borderId="1" xfId="5" applyNumberFormat="1" applyFont="1" applyFill="1" applyBorder="1" applyAlignment="1" applyProtection="1">
      <alignment horizontal="center" vertical="center" wrapText="1"/>
    </xf>
    <xf numFmtId="0" fontId="13" fillId="10" borderId="1" xfId="5" applyFont="1" applyFill="1" applyBorder="1" applyAlignment="1" applyProtection="1">
      <alignment horizontal="center" vertical="center" wrapText="1"/>
    </xf>
  </cellXfs>
  <cellStyles count="12">
    <cellStyle name="20% - Accent4 2" xfId="1" xr:uid="{00000000-0005-0000-0000-000006000000}"/>
    <cellStyle name="Excel Built-in 20% - Accent4" xfId="11" xr:uid="{00000000-0005-0000-0000-000013000000}"/>
    <cellStyle name="Excel Built-in Accent3" xfId="7" xr:uid="{00000000-0005-0000-0000-00000F000000}"/>
    <cellStyle name="Excel Built-in Accent4" xfId="5" xr:uid="{00000000-0005-0000-0000-00000D000000}"/>
    <cellStyle name="Excel Built-in Accent6" xfId="9" xr:uid="{00000000-0005-0000-0000-000011000000}"/>
    <cellStyle name="Excel Built-in Bad" xfId="10" xr:uid="{00000000-0005-0000-0000-000012000000}"/>
    <cellStyle name="Excel Built-in Good" xfId="6" xr:uid="{00000000-0005-0000-0000-00000E000000}"/>
    <cellStyle name="Excel Built-in Neutral" xfId="8" xr:uid="{00000000-0005-0000-0000-000010000000}"/>
    <cellStyle name="Normal" xfId="0" builtinId="0"/>
    <cellStyle name="Normal 2" xfId="2" xr:uid="{00000000-0005-0000-0000-000007000000}"/>
    <cellStyle name="Normal 3 2" xfId="3" xr:uid="{00000000-0005-0000-0000-000008000000}"/>
    <cellStyle name="Normal_NRA_Acceptance Sheet" xfId="4" xr:uid="{00000000-0005-0000-0000-000009000000}"/>
  </cellStyles>
  <dxfs count="55">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border diagonalUp="0" diagonalDown="0">
        <left style="thin">
          <color auto="1"/>
        </left>
        <right style="thin">
          <color auto="1"/>
        </right>
        <top style="thin">
          <color auto="1"/>
        </top>
        <bottom style="thin">
          <color auto="1"/>
        </bottom>
      </border>
    </dxf>
    <dxf>
      <font>
        <color rgb="FF9C0006"/>
      </font>
      <fill>
        <patternFill>
          <bgColor rgb="FFFFC7CE"/>
        </patternFill>
      </fill>
      <border diagonalUp="0" diagonalDown="0">
        <left style="thin">
          <color auto="1"/>
        </left>
        <right style="thin">
          <color auto="1"/>
        </right>
        <top style="thin">
          <color auto="1"/>
        </top>
        <bottom style="thin">
          <color auto="1"/>
        </bottom>
      </border>
    </dxf>
    <dxf>
      <font>
        <color rgb="FFD8BFEB"/>
      </font>
      <fill>
        <patternFill>
          <bgColor rgb="FF8064A2"/>
        </patternFill>
      </fill>
      <border diagonalUp="0" diagonalDown="0">
        <left style="thin">
          <color auto="1"/>
        </left>
        <right style="thin">
          <color auto="1"/>
        </right>
        <top style="thin">
          <color auto="1"/>
        </top>
        <bottom style="thin">
          <color auto="1"/>
        </bottom>
      </border>
    </dxf>
    <dxf>
      <font>
        <color rgb="FF363636"/>
      </font>
      <fill>
        <patternFill>
          <bgColor rgb="FFF2F2F2"/>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C3DFF9"/>
      </font>
      <fill>
        <patternFill>
          <bgColor rgb="FF4F81BD"/>
        </patternFill>
      </fill>
      <border diagonalUp="0" diagonalDown="0">
        <left style="thin">
          <color auto="1"/>
        </left>
        <right style="thin">
          <color auto="1"/>
        </right>
        <top style="thin">
          <color auto="1"/>
        </top>
        <bottom style="thin">
          <color auto="1"/>
        </bottom>
      </border>
    </dxf>
    <dxf>
      <font>
        <color rgb="FFFFFFFF"/>
      </font>
      <fill>
        <patternFill>
          <bgColor rgb="FF632523"/>
        </patternFill>
      </fill>
      <border diagonalUp="0" diagonalDown="0">
        <left style="thin">
          <color auto="1"/>
        </left>
        <right style="thin">
          <color auto="1"/>
        </right>
        <top style="thin">
          <color auto="1"/>
        </top>
        <bottom style="thin">
          <color auto="1"/>
        </bottom>
      </border>
    </dxf>
    <dxf>
      <font>
        <color rgb="FFFFFFFF"/>
      </font>
      <fill>
        <patternFill>
          <bgColor rgb="FF963634"/>
        </patternFill>
      </fill>
      <border diagonalUp="0" diagonalDown="0">
        <left style="thin">
          <color auto="1"/>
        </left>
        <right style="thin">
          <color auto="1"/>
        </right>
        <top style="thin">
          <color auto="1"/>
        </top>
        <bottom style="thin">
          <color auto="1"/>
        </bottom>
      </border>
    </dxf>
    <dxf>
      <font>
        <color rgb="FF963634"/>
      </font>
      <fill>
        <patternFill>
          <bgColor rgb="FFDA9694"/>
        </patternFill>
      </fill>
      <border diagonalUp="0" diagonalDown="0">
        <left style="thin">
          <color auto="1"/>
        </left>
        <right style="thin">
          <color auto="1"/>
        </right>
        <top style="thin">
          <color auto="1"/>
        </top>
        <bottom style="thin">
          <color auto="1"/>
        </bottom>
      </border>
    </dxf>
    <dxf>
      <font>
        <color rgb="FF1E3E20"/>
      </font>
      <fill>
        <patternFill>
          <bgColor rgb="FF8AC181"/>
        </patternFill>
      </fill>
      <border diagonalUp="0" diagonalDown="0">
        <left style="thin">
          <color auto="1"/>
        </left>
        <right style="thin">
          <color auto="1"/>
        </right>
        <top style="thin">
          <color auto="1"/>
        </top>
        <bottom style="thin">
          <color auto="1"/>
        </bottom>
      </border>
    </dxf>
    <dxf>
      <font>
        <color rgb="FF006100"/>
      </font>
      <fill>
        <patternFill>
          <bgColor rgb="FF9BBB59"/>
        </patternFill>
      </fill>
      <border diagonalUp="0" diagonalDown="0">
        <left style="thin">
          <color auto="1"/>
        </left>
        <right style="thin">
          <color auto="1"/>
        </right>
        <top style="thin">
          <color auto="1"/>
        </top>
        <bottom style="thin">
          <color auto="1"/>
        </bottom>
      </border>
    </dxf>
    <dxf>
      <font>
        <color rgb="FF625B38"/>
      </font>
      <fill>
        <patternFill>
          <bgColor rgb="FFFFFFCC"/>
        </patternFill>
      </fill>
      <border diagonalUp="0" diagonalDown="0">
        <left style="thin">
          <color auto="1"/>
        </left>
        <right style="thin">
          <color auto="1"/>
        </right>
        <top style="thin">
          <color auto="1"/>
        </top>
        <bottom style="thin">
          <color auto="1"/>
        </bottom>
      </border>
    </dxf>
    <dxf>
      <font>
        <color rgb="FF363600"/>
      </font>
      <fill>
        <patternFill>
          <bgColor rgb="FFF2F2F2"/>
        </patternFill>
      </fill>
      <border diagonalUp="0" diagonalDown="0">
        <left style="thin">
          <color auto="1"/>
        </left>
        <right style="thin">
          <color auto="1"/>
        </right>
        <top style="thin">
          <color auto="1"/>
        </top>
        <bottom style="thin">
          <color auto="1"/>
        </bottom>
      </border>
    </dxf>
    <dxf>
      <font>
        <color rgb="FF006100"/>
      </font>
      <fill>
        <patternFill>
          <bgColor rgb="FFC6EFCE"/>
        </patternFill>
      </fill>
    </dxf>
    <dxf>
      <font>
        <strike val="0"/>
        <color rgb="FFD8BFEB"/>
      </font>
      <fill>
        <patternFill>
          <bgColor rgb="FF8064A2"/>
        </patternFill>
      </fill>
      <border diagonalUp="0" diagonalDown="0">
        <left style="thin">
          <color auto="1"/>
        </left>
        <right style="thin">
          <color auto="1"/>
        </right>
        <top style="thin">
          <color auto="1"/>
        </top>
        <bottom style="thin">
          <color auto="1"/>
        </bottom>
      </border>
    </dxf>
  </dxfs>
  <tableStyles count="0" defaultTableStyle="TableStyleMedium2" defaultPivotStyle="PivotStyleLight16"/>
  <colors>
    <indexedColors>
      <rgbColor rgb="FF000000"/>
      <rgbColor rgb="FFFFFFFF"/>
      <rgbColor rgb="FFFF0000"/>
      <rgbColor rgb="FF00FF00"/>
      <rgbColor rgb="FF0000FF"/>
      <rgbColor rgb="FFFFFF00"/>
      <rgbColor rgb="FFF00000"/>
      <rgbColor rgb="FF00FFFF"/>
      <rgbColor rgb="FF9C0006"/>
      <rgbColor rgb="FF006100"/>
      <rgbColor rgb="FF000080"/>
      <rgbColor rgb="FF9C6500"/>
      <rgbColor rgb="FFC00000"/>
      <rgbColor rgb="FF4F81BD"/>
      <rgbColor rgb="FFE6E0EC"/>
      <rgbColor rgb="FF808080"/>
      <rgbColor rgb="FF7CACBC"/>
      <rgbColor rgb="FF963634"/>
      <rgbColor rgb="FFFFFFCC"/>
      <rgbColor rgb="FFF2F2F2"/>
      <rgbColor rgb="FF625B38"/>
      <rgbColor rgb="FFF79646"/>
      <rgbColor rgb="FF595959"/>
      <rgbColor rgb="FFD8BFEB"/>
      <rgbColor rgb="FF000080"/>
      <rgbColor rgb="FFFF00FF"/>
      <rgbColor rgb="FFFFF019"/>
      <rgbColor rgb="FF00FFFF"/>
      <rgbColor rgb="FFC9211E"/>
      <rgbColor rgb="FF632523"/>
      <rgbColor rgb="FF4D5361"/>
      <rgbColor rgb="FF0000FF"/>
      <rgbColor rgb="FF00CCFF"/>
      <rgbColor rgb="FFC3DFF9"/>
      <rgbColor rgb="FFC6EFCE"/>
      <rgbColor rgb="FFFFEB9C"/>
      <rgbColor rgb="FF8AC181"/>
      <rgbColor rgb="FFDA9694"/>
      <rgbColor rgb="FF865600"/>
      <rgbColor rgb="FFFFC7CE"/>
      <rgbColor rgb="FF4A7EBB"/>
      <rgbColor rgb="FF33C533"/>
      <rgbColor rgb="FF9BBB59"/>
      <rgbColor rgb="FFFFC800"/>
      <rgbColor rgb="FFFF8C00"/>
      <rgbColor rgb="FF984807"/>
      <rgbColor rgb="FF8064A2"/>
      <rgbColor rgb="FF878787"/>
      <rgbColor rgb="FF363636"/>
      <rgbColor rgb="FF437381"/>
      <rgbColor rgb="FF1E3E20"/>
      <rgbColor rgb="FF363600"/>
      <rgbColor rgb="FF974706"/>
      <rgbColor rgb="FFBE4B48"/>
      <rgbColor rgb="FF404040"/>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2</xdr:col>
      <xdr:colOff>3384550</xdr:colOff>
      <xdr:row>26</xdr:row>
      <xdr:rowOff>0</xdr:rowOff>
    </xdr:to>
    <xdr:sp macro="" textlink="">
      <xdr:nvSpPr>
        <xdr:cNvPr id="3082" name="_x0000_t202" hidden="1">
          <a:extLst>
            <a:ext uri="{FF2B5EF4-FFF2-40B4-BE49-F238E27FC236}">
              <a16:creationId xmlns:a16="http://schemas.microsoft.com/office/drawing/2014/main" id="{38CC634C-D3AE-94E0-287D-9F390A3DBFE3}"/>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6</xdr:row>
      <xdr:rowOff>0</xdr:rowOff>
    </xdr:from>
    <xdr:to>
      <xdr:col>2</xdr:col>
      <xdr:colOff>3384550</xdr:colOff>
      <xdr:row>26</xdr:row>
      <xdr:rowOff>0</xdr:rowOff>
    </xdr:to>
    <xdr:sp macro="" textlink="">
      <xdr:nvSpPr>
        <xdr:cNvPr id="3080" name="_x0000_t202" hidden="1">
          <a:extLst>
            <a:ext uri="{FF2B5EF4-FFF2-40B4-BE49-F238E27FC236}">
              <a16:creationId xmlns:a16="http://schemas.microsoft.com/office/drawing/2014/main" id="{3ACE64B1-4A11-F48E-EC27-201E90A3889C}"/>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6</xdr:row>
      <xdr:rowOff>0</xdr:rowOff>
    </xdr:from>
    <xdr:to>
      <xdr:col>2</xdr:col>
      <xdr:colOff>3384550</xdr:colOff>
      <xdr:row>26</xdr:row>
      <xdr:rowOff>0</xdr:rowOff>
    </xdr:to>
    <xdr:sp macro="" textlink="">
      <xdr:nvSpPr>
        <xdr:cNvPr id="3078" name="_x0000_t202" hidden="1">
          <a:extLst>
            <a:ext uri="{FF2B5EF4-FFF2-40B4-BE49-F238E27FC236}">
              <a16:creationId xmlns:a16="http://schemas.microsoft.com/office/drawing/2014/main" id="{62F529A7-21AE-CB2E-3DF1-B5AA2D09ACD3}"/>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6</xdr:row>
      <xdr:rowOff>0</xdr:rowOff>
    </xdr:from>
    <xdr:to>
      <xdr:col>2</xdr:col>
      <xdr:colOff>3384550</xdr:colOff>
      <xdr:row>26</xdr:row>
      <xdr:rowOff>0</xdr:rowOff>
    </xdr:to>
    <xdr:sp macro="" textlink="">
      <xdr:nvSpPr>
        <xdr:cNvPr id="3076" name="_x0000_t202" hidden="1">
          <a:extLst>
            <a:ext uri="{FF2B5EF4-FFF2-40B4-BE49-F238E27FC236}">
              <a16:creationId xmlns:a16="http://schemas.microsoft.com/office/drawing/2014/main" id="{871AFA67-44A7-10B1-8E07-8CC85937B50E}"/>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6</xdr:row>
      <xdr:rowOff>0</xdr:rowOff>
    </xdr:from>
    <xdr:to>
      <xdr:col>2</xdr:col>
      <xdr:colOff>3384550</xdr:colOff>
      <xdr:row>26</xdr:row>
      <xdr:rowOff>0</xdr:rowOff>
    </xdr:to>
    <xdr:sp macro="" textlink="">
      <xdr:nvSpPr>
        <xdr:cNvPr id="3074" name="_x0000_t202" hidden="1">
          <a:extLst>
            <a:ext uri="{FF2B5EF4-FFF2-40B4-BE49-F238E27FC236}">
              <a16:creationId xmlns:a16="http://schemas.microsoft.com/office/drawing/2014/main" id="{7D3873BA-17CB-CA68-CF45-723FCDB33EDD}"/>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142"/>
  <sheetViews>
    <sheetView tabSelected="1" zoomScale="130" zoomScaleNormal="130" workbookViewId="0">
      <pane xSplit="4" ySplit="21" topLeftCell="E76" activePane="bottomRight" state="frozen"/>
      <selection pane="topRight" activeCell="F1" sqref="F1"/>
      <selection pane="bottomLeft" activeCell="A22" sqref="A22"/>
      <selection pane="bottomRight" activeCell="A86" sqref="A86"/>
    </sheetView>
  </sheetViews>
  <sheetFormatPr defaultRowHeight="12.75" outlineLevelRow="1" outlineLevelCol="1" x14ac:dyDescent="0.2"/>
  <cols>
    <col min="1" max="1" width="17.7109375" style="4" customWidth="1" outlineLevel="1"/>
    <col min="2" max="2" width="24.7109375" style="4" customWidth="1"/>
    <col min="3" max="3" width="70.140625" style="7" customWidth="1"/>
    <col min="4" max="4" width="47.140625" style="4" customWidth="1"/>
    <col min="5" max="5" width="16.7109375" style="4" customWidth="1"/>
    <col min="6" max="7" width="16.7109375" style="4" customWidth="1" outlineLevel="1"/>
    <col min="8" max="8" width="23.85546875" style="4" customWidth="1" outlineLevel="1"/>
    <col min="9" max="9" width="9.140625" style="4" customWidth="1"/>
    <col min="10" max="1023" width="9.140625" style="2" customWidth="1"/>
    <col min="1024" max="1025" width="9.140625" customWidth="1"/>
  </cols>
  <sheetData>
    <row r="1" spans="1:8" ht="12" hidden="1" customHeight="1" x14ac:dyDescent="0.2">
      <c r="A1" s="27" t="s">
        <v>18</v>
      </c>
      <c r="B1" s="27"/>
      <c r="C1" s="27" t="s">
        <v>19</v>
      </c>
      <c r="D1" s="1" t="s">
        <v>15</v>
      </c>
      <c r="E1" s="28" t="s">
        <v>20</v>
      </c>
      <c r="F1" s="28"/>
      <c r="G1" s="28"/>
      <c r="H1" s="28"/>
    </row>
    <row r="2" spans="1:8" ht="12" hidden="1" customHeight="1" x14ac:dyDescent="0.2">
      <c r="A2" s="27"/>
      <c r="B2" s="27"/>
      <c r="C2" s="27"/>
      <c r="D2" s="1" t="s">
        <v>0</v>
      </c>
      <c r="E2" s="28" t="s">
        <v>1</v>
      </c>
      <c r="F2" s="28"/>
      <c r="G2" s="28"/>
      <c r="H2" s="28"/>
    </row>
    <row r="3" spans="1:8" ht="12" hidden="1" customHeight="1" x14ac:dyDescent="0.2">
      <c r="A3" s="27"/>
      <c r="B3" s="27"/>
      <c r="C3" s="27"/>
      <c r="D3" s="1" t="s">
        <v>2</v>
      </c>
      <c r="E3" s="29">
        <v>41348</v>
      </c>
      <c r="F3" s="29"/>
      <c r="G3" s="29"/>
      <c r="H3" s="29"/>
    </row>
    <row r="4" spans="1:8" ht="12" hidden="1" customHeight="1" x14ac:dyDescent="0.2">
      <c r="A4" s="27"/>
      <c r="B4" s="27"/>
      <c r="C4" s="27"/>
      <c r="D4" s="1" t="s">
        <v>3</v>
      </c>
      <c r="E4" s="28" t="s">
        <v>16</v>
      </c>
      <c r="F4" s="28"/>
      <c r="G4" s="28"/>
      <c r="H4" s="28"/>
    </row>
    <row r="5" spans="1:8" ht="12" hidden="1" customHeight="1" x14ac:dyDescent="0.2">
      <c r="A5" s="27"/>
      <c r="B5" s="27"/>
      <c r="C5" s="27"/>
      <c r="D5" s="1" t="s">
        <v>21</v>
      </c>
      <c r="E5" s="28" t="s">
        <v>22</v>
      </c>
      <c r="F5" s="28"/>
      <c r="G5" s="28"/>
      <c r="H5" s="28"/>
    </row>
    <row r="6" spans="1:8" ht="12" hidden="1" customHeight="1" x14ac:dyDescent="0.2">
      <c r="A6" s="27"/>
      <c r="B6" s="27"/>
      <c r="C6" s="27"/>
      <c r="D6" s="1" t="s">
        <v>23</v>
      </c>
      <c r="E6" s="28" t="s">
        <v>24</v>
      </c>
      <c r="F6" s="28"/>
      <c r="G6" s="28"/>
      <c r="H6" s="28"/>
    </row>
    <row r="7" spans="1:8" ht="12" customHeight="1" x14ac:dyDescent="0.2">
      <c r="A7" s="27"/>
      <c r="B7" s="27"/>
      <c r="C7" s="27"/>
      <c r="D7" s="1" t="s">
        <v>4</v>
      </c>
      <c r="E7" s="30" t="s">
        <v>17</v>
      </c>
      <c r="F7" s="30"/>
      <c r="G7" s="30"/>
      <c r="H7" s="30"/>
    </row>
    <row r="8" spans="1:8" ht="12.75" customHeight="1" outlineLevel="1" x14ac:dyDescent="0.2">
      <c r="A8" s="27"/>
      <c r="B8" s="27"/>
      <c r="C8" s="27"/>
      <c r="D8" s="8"/>
      <c r="E8" s="27" t="s">
        <v>25</v>
      </c>
      <c r="F8" s="27"/>
      <c r="G8" s="27"/>
      <c r="H8" s="27"/>
    </row>
    <row r="9" spans="1:8" ht="12" customHeight="1" outlineLevel="1" x14ac:dyDescent="0.2">
      <c r="A9" s="25" t="s">
        <v>162</v>
      </c>
      <c r="B9" s="25"/>
      <c r="C9" s="26" t="s">
        <v>163</v>
      </c>
      <c r="D9" s="9" t="s">
        <v>26</v>
      </c>
      <c r="E9" s="24">
        <f>SUM(E10:F19)</f>
        <v>66</v>
      </c>
      <c r="F9" s="24"/>
      <c r="G9" s="23">
        <v>1</v>
      </c>
      <c r="H9" s="23"/>
    </row>
    <row r="10" spans="1:8" ht="12" customHeight="1" outlineLevel="1" x14ac:dyDescent="0.2">
      <c r="A10" s="25"/>
      <c r="B10" s="25"/>
      <c r="C10" s="26"/>
      <c r="D10" s="3" t="s">
        <v>10</v>
      </c>
      <c r="E10" s="22">
        <f>COUNTIF(E22:E252,"OK")</f>
        <v>52</v>
      </c>
      <c r="F10" s="22"/>
      <c r="G10" s="23"/>
      <c r="H10" s="23"/>
    </row>
    <row r="11" spans="1:8" ht="12" customHeight="1" outlineLevel="1" x14ac:dyDescent="0.2">
      <c r="A11" s="25"/>
      <c r="B11" s="25"/>
      <c r="C11" s="26"/>
      <c r="D11" s="3" t="s">
        <v>11</v>
      </c>
      <c r="E11" s="22">
        <f>COUNTIF(E22:E252,"Partially tested")</f>
        <v>0</v>
      </c>
      <c r="F11" s="22"/>
      <c r="G11" s="23"/>
      <c r="H11" s="23"/>
    </row>
    <row r="12" spans="1:8" ht="12" customHeight="1" outlineLevel="1" x14ac:dyDescent="0.2">
      <c r="A12" s="25"/>
      <c r="B12" s="25"/>
      <c r="C12" s="26"/>
      <c r="D12" s="3" t="s">
        <v>9</v>
      </c>
      <c r="E12" s="22">
        <f>COUNTIF(E22:E252,"Enhancement")</f>
        <v>0</v>
      </c>
      <c r="F12" s="22"/>
      <c r="G12" s="23"/>
      <c r="H12" s="23"/>
    </row>
    <row r="13" spans="1:8" ht="12" customHeight="1" outlineLevel="1" x14ac:dyDescent="0.2">
      <c r="A13" s="25"/>
      <c r="B13" s="25"/>
      <c r="C13" s="26"/>
      <c r="D13" s="3" t="s">
        <v>8</v>
      </c>
      <c r="E13" s="22">
        <f>COUNTIF(E22:E252,"Minor")</f>
        <v>3</v>
      </c>
      <c r="F13" s="22"/>
      <c r="G13" s="23"/>
      <c r="H13" s="23"/>
    </row>
    <row r="14" spans="1:8" ht="12" customHeight="1" outlineLevel="1" x14ac:dyDescent="0.2">
      <c r="A14" s="25"/>
      <c r="B14" s="25"/>
      <c r="C14" s="26"/>
      <c r="D14" s="3" t="s">
        <v>7</v>
      </c>
      <c r="E14" s="22">
        <f>COUNTIF(E22:E252,"Average")</f>
        <v>2</v>
      </c>
      <c r="F14" s="22"/>
      <c r="G14" s="23"/>
      <c r="H14" s="23"/>
    </row>
    <row r="15" spans="1:8" ht="12" customHeight="1" outlineLevel="1" x14ac:dyDescent="0.2">
      <c r="A15" s="25"/>
      <c r="B15" s="25"/>
      <c r="C15" s="26"/>
      <c r="D15" s="3" t="s">
        <v>6</v>
      </c>
      <c r="E15" s="22">
        <f>COUNTIF(E22:E252,"Major")</f>
        <v>9</v>
      </c>
      <c r="F15" s="22"/>
      <c r="G15" s="23">
        <f>E15/E9</f>
        <v>0.13636363636363635</v>
      </c>
      <c r="H15" s="23"/>
    </row>
    <row r="16" spans="1:8" ht="12" customHeight="1" outlineLevel="1" x14ac:dyDescent="0.2">
      <c r="A16" s="25"/>
      <c r="B16" s="25"/>
      <c r="C16" s="26"/>
      <c r="D16" s="3" t="s">
        <v>5</v>
      </c>
      <c r="E16" s="22">
        <f>COUNTIF(E22:E252,"Critical")</f>
        <v>0</v>
      </c>
      <c r="F16" s="22"/>
      <c r="G16" s="23">
        <f>E16/E9</f>
        <v>0</v>
      </c>
      <c r="H16" s="23"/>
    </row>
    <row r="17" spans="1:1024" ht="12" customHeight="1" outlineLevel="1" x14ac:dyDescent="0.2">
      <c r="A17" s="25"/>
      <c r="B17" s="25"/>
      <c r="C17" s="26"/>
      <c r="D17" s="3" t="s">
        <v>12</v>
      </c>
      <c r="E17" s="22">
        <f>COUNTIF(E22:E252,"Not available")</f>
        <v>0</v>
      </c>
      <c r="F17" s="22"/>
      <c r="G17" s="23">
        <f>E17/E9</f>
        <v>0</v>
      </c>
      <c r="H17" s="23"/>
    </row>
    <row r="18" spans="1:1024" ht="12" customHeight="1" outlineLevel="1" x14ac:dyDescent="0.2">
      <c r="A18" s="25"/>
      <c r="B18" s="25"/>
      <c r="C18" s="26"/>
      <c r="D18" s="3" t="s">
        <v>13</v>
      </c>
      <c r="E18" s="22">
        <f>COUNTIF(E22:E252,"Not implemented")</f>
        <v>0</v>
      </c>
      <c r="F18" s="22"/>
      <c r="G18" s="23"/>
      <c r="H18" s="23"/>
    </row>
    <row r="19" spans="1:1024" ht="12" customHeight="1" outlineLevel="1" x14ac:dyDescent="0.2">
      <c r="A19" s="25"/>
      <c r="B19" s="25"/>
      <c r="C19" s="26"/>
      <c r="D19" s="3" t="s">
        <v>14</v>
      </c>
      <c r="E19" s="22">
        <f>COUNTIF(E22:E252,"Not tested")</f>
        <v>0</v>
      </c>
      <c r="F19" s="22"/>
      <c r="G19" s="23"/>
      <c r="H19" s="23"/>
    </row>
    <row r="20" spans="1:1024" ht="12" customHeight="1" outlineLevel="1" x14ac:dyDescent="0.2">
      <c r="A20" s="25"/>
      <c r="B20" s="25"/>
      <c r="C20" s="26"/>
      <c r="D20" s="10" t="s">
        <v>27</v>
      </c>
      <c r="E20" s="24">
        <f>ROUND(SUM(H22:H22,)/60, 2)</f>
        <v>0</v>
      </c>
      <c r="F20" s="24"/>
      <c r="G20" s="23"/>
      <c r="H20" s="23"/>
    </row>
    <row r="21" spans="1:1024" s="14" customFormat="1" ht="28.5" customHeight="1" x14ac:dyDescent="0.2">
      <c r="A21" s="11" t="s">
        <v>28</v>
      </c>
      <c r="B21" s="11" t="s">
        <v>29</v>
      </c>
      <c r="C21" s="11" t="s">
        <v>30</v>
      </c>
      <c r="D21" s="11" t="s">
        <v>31</v>
      </c>
      <c r="E21" s="11" t="s">
        <v>32</v>
      </c>
      <c r="F21" s="11" t="s">
        <v>33</v>
      </c>
      <c r="G21" s="11" t="s">
        <v>3</v>
      </c>
      <c r="H21" s="12" t="s">
        <v>34</v>
      </c>
      <c r="I21" s="13"/>
      <c r="AMJ21"/>
    </row>
    <row r="22" spans="1:1024" ht="12" customHeight="1" x14ac:dyDescent="0.2">
      <c r="A22" s="20" t="s">
        <v>35</v>
      </c>
      <c r="B22" s="18" t="s">
        <v>39</v>
      </c>
      <c r="C22" s="5" t="s">
        <v>40</v>
      </c>
      <c r="D22" s="2" t="s">
        <v>41</v>
      </c>
      <c r="E22" s="3" t="s">
        <v>10</v>
      </c>
      <c r="F22" s="2"/>
      <c r="G22" s="17" t="s">
        <v>36</v>
      </c>
      <c r="H22" s="16"/>
      <c r="I22" s="6"/>
      <c r="J22" s="19"/>
      <c r="K22" s="16"/>
      <c r="L22" s="16"/>
      <c r="M22" s="6"/>
      <c r="N22" s="19"/>
      <c r="O22" s="16"/>
      <c r="P22" s="16"/>
      <c r="Q22" s="6"/>
      <c r="R22" s="19"/>
      <c r="S22" s="16"/>
      <c r="T22" s="16"/>
    </row>
    <row r="23" spans="1:1024" s="2" customFormat="1" x14ac:dyDescent="0.2">
      <c r="A23" s="20" t="s">
        <v>35</v>
      </c>
      <c r="B23" s="18" t="s">
        <v>39</v>
      </c>
      <c r="C23" s="5" t="s">
        <v>42</v>
      </c>
      <c r="D23" s="2" t="s">
        <v>43</v>
      </c>
      <c r="E23" s="3" t="s">
        <v>10</v>
      </c>
      <c r="G23" s="17" t="s">
        <v>36</v>
      </c>
      <c r="K23" s="5"/>
      <c r="O23" s="5"/>
      <c r="S23" s="5"/>
      <c r="AMJ23"/>
    </row>
    <row r="24" spans="1:1024" s="2" customFormat="1" x14ac:dyDescent="0.2">
      <c r="A24" s="20" t="s">
        <v>35</v>
      </c>
      <c r="B24" s="18" t="s">
        <v>39</v>
      </c>
      <c r="C24" s="5" t="s">
        <v>44</v>
      </c>
      <c r="D24" s="2" t="s">
        <v>45</v>
      </c>
      <c r="E24" s="3" t="s">
        <v>10</v>
      </c>
      <c r="G24" s="17" t="s">
        <v>36</v>
      </c>
      <c r="I24" s="20"/>
      <c r="K24" s="5"/>
      <c r="M24" s="20"/>
      <c r="O24" s="5"/>
      <c r="Q24" s="20"/>
      <c r="S24" s="5"/>
      <c r="AMJ24"/>
    </row>
    <row r="25" spans="1:1024" x14ac:dyDescent="0.2">
      <c r="A25" s="20" t="s">
        <v>35</v>
      </c>
      <c r="B25" s="18" t="s">
        <v>39</v>
      </c>
      <c r="C25" s="5" t="s">
        <v>46</v>
      </c>
      <c r="D25" s="2" t="s">
        <v>47</v>
      </c>
      <c r="E25" s="3" t="s">
        <v>10</v>
      </c>
      <c r="F25" s="2"/>
      <c r="G25" s="17" t="s">
        <v>36</v>
      </c>
      <c r="H25" s="15"/>
      <c r="I25" s="15"/>
      <c r="J25" s="15"/>
      <c r="K25" s="15"/>
      <c r="L25" s="15"/>
      <c r="M25" s="15"/>
      <c r="N25" s="15"/>
      <c r="O25" s="15"/>
      <c r="P25" s="15"/>
      <c r="Q25" s="15"/>
      <c r="R25" s="15"/>
      <c r="S25" s="15"/>
      <c r="T25" s="15"/>
    </row>
    <row r="26" spans="1:1024" x14ac:dyDescent="0.2">
      <c r="A26" s="20" t="s">
        <v>35</v>
      </c>
      <c r="B26" s="18" t="s">
        <v>39</v>
      </c>
      <c r="C26" s="5" t="s">
        <v>48</v>
      </c>
      <c r="D26" s="2" t="s">
        <v>49</v>
      </c>
      <c r="E26" s="3" t="s">
        <v>10</v>
      </c>
      <c r="F26" s="2"/>
      <c r="G26" s="17" t="s">
        <v>36</v>
      </c>
      <c r="I26" s="2"/>
      <c r="J26" s="18"/>
      <c r="K26" s="16"/>
      <c r="L26" s="4"/>
      <c r="N26" s="18"/>
      <c r="O26" s="16"/>
      <c r="P26" s="4"/>
      <c r="R26" s="18"/>
      <c r="S26" s="16"/>
      <c r="T26" s="4"/>
    </row>
    <row r="27" spans="1:1024" s="2" customFormat="1" x14ac:dyDescent="0.2">
      <c r="A27" s="21" t="s">
        <v>38</v>
      </c>
      <c r="B27" s="18" t="s">
        <v>50</v>
      </c>
      <c r="C27" s="7" t="s">
        <v>51</v>
      </c>
      <c r="D27" s="4" t="s">
        <v>52</v>
      </c>
      <c r="E27" s="3" t="s">
        <v>10</v>
      </c>
      <c r="F27" s="4"/>
      <c r="G27" s="17" t="s">
        <v>36</v>
      </c>
      <c r="J27" s="18"/>
      <c r="K27" s="16"/>
      <c r="N27" s="18"/>
      <c r="O27" s="16"/>
      <c r="R27" s="18"/>
      <c r="S27" s="16"/>
      <c r="AMJ27"/>
    </row>
    <row r="28" spans="1:1024" s="2" customFormat="1" x14ac:dyDescent="0.2">
      <c r="A28" s="21" t="s">
        <v>1</v>
      </c>
      <c r="B28" s="18" t="s">
        <v>50</v>
      </c>
      <c r="C28" s="7" t="s">
        <v>53</v>
      </c>
      <c r="D28" s="4" t="s">
        <v>54</v>
      </c>
      <c r="E28" s="3" t="s">
        <v>8</v>
      </c>
      <c r="F28" s="4"/>
      <c r="G28" s="17" t="s">
        <v>36</v>
      </c>
      <c r="J28" s="18"/>
      <c r="K28" s="16"/>
      <c r="N28" s="18"/>
      <c r="O28" s="16"/>
      <c r="R28" s="18"/>
      <c r="S28" s="16"/>
      <c r="AMJ28"/>
    </row>
    <row r="29" spans="1:1024" s="2" customFormat="1" x14ac:dyDescent="0.2">
      <c r="A29" s="21" t="s">
        <v>37</v>
      </c>
      <c r="B29" s="18" t="s">
        <v>50</v>
      </c>
      <c r="C29" s="7" t="s">
        <v>55</v>
      </c>
      <c r="D29" s="4" t="s">
        <v>56</v>
      </c>
      <c r="E29" s="3" t="s">
        <v>10</v>
      </c>
      <c r="F29" s="4"/>
      <c r="G29" s="17" t="s">
        <v>36</v>
      </c>
      <c r="J29" s="18"/>
      <c r="K29" s="16"/>
      <c r="N29" s="18"/>
      <c r="O29" s="16"/>
      <c r="R29" s="18"/>
      <c r="S29" s="16"/>
      <c r="AMJ29"/>
    </row>
    <row r="30" spans="1:1024" s="2" customFormat="1" x14ac:dyDescent="0.2">
      <c r="A30" s="21" t="s">
        <v>1</v>
      </c>
      <c r="B30" s="18" t="s">
        <v>50</v>
      </c>
      <c r="C30" s="7" t="s">
        <v>57</v>
      </c>
      <c r="D30" s="4" t="s">
        <v>58</v>
      </c>
      <c r="E30" s="3" t="s">
        <v>8</v>
      </c>
      <c r="F30" s="4"/>
      <c r="G30" s="17" t="s">
        <v>36</v>
      </c>
      <c r="J30" s="18"/>
      <c r="K30" s="16"/>
      <c r="N30" s="18"/>
      <c r="O30" s="16"/>
      <c r="R30" s="18"/>
      <c r="S30" s="16"/>
      <c r="AMJ30"/>
    </row>
    <row r="31" spans="1:1024" s="2" customFormat="1" x14ac:dyDescent="0.2">
      <c r="A31" s="21" t="s">
        <v>37</v>
      </c>
      <c r="B31" s="18" t="s">
        <v>50</v>
      </c>
      <c r="C31" s="7" t="s">
        <v>59</v>
      </c>
      <c r="D31" s="4" t="s">
        <v>60</v>
      </c>
      <c r="E31" s="3" t="s">
        <v>10</v>
      </c>
      <c r="F31" s="4"/>
      <c r="G31" s="17" t="s">
        <v>36</v>
      </c>
      <c r="I31" s="20"/>
      <c r="J31" s="18"/>
      <c r="K31" s="16"/>
      <c r="M31" s="20"/>
      <c r="N31" s="18"/>
      <c r="O31" s="16"/>
      <c r="Q31" s="20"/>
      <c r="R31" s="18"/>
      <c r="S31" s="16"/>
      <c r="AMJ31"/>
    </row>
    <row r="32" spans="1:1024" s="2" customFormat="1" x14ac:dyDescent="0.2">
      <c r="A32" s="21" t="s">
        <v>1</v>
      </c>
      <c r="B32" s="18" t="s">
        <v>50</v>
      </c>
      <c r="C32" s="7" t="s">
        <v>61</v>
      </c>
      <c r="D32" s="4" t="s">
        <v>62</v>
      </c>
      <c r="E32" s="3" t="s">
        <v>6</v>
      </c>
      <c r="F32" s="4"/>
      <c r="G32" s="17" t="s">
        <v>36</v>
      </c>
      <c r="I32" s="20"/>
      <c r="J32" s="18"/>
      <c r="K32" s="16"/>
      <c r="M32" s="20"/>
      <c r="N32" s="18"/>
      <c r="O32" s="16"/>
      <c r="Q32" s="20"/>
      <c r="R32" s="18"/>
      <c r="S32" s="16"/>
      <c r="AMJ32"/>
    </row>
    <row r="33" spans="1:1024" s="2" customFormat="1" x14ac:dyDescent="0.2">
      <c r="A33" s="21" t="s">
        <v>1</v>
      </c>
      <c r="B33" s="18" t="s">
        <v>50</v>
      </c>
      <c r="C33" s="7" t="s">
        <v>63</v>
      </c>
      <c r="D33" s="4" t="s">
        <v>60</v>
      </c>
      <c r="E33" s="3" t="s">
        <v>7</v>
      </c>
      <c r="F33" s="4"/>
      <c r="G33" s="17" t="s">
        <v>36</v>
      </c>
      <c r="I33" s="20"/>
      <c r="J33" s="18"/>
      <c r="K33" s="16"/>
      <c r="M33" s="20"/>
      <c r="N33" s="18"/>
      <c r="O33" s="16"/>
      <c r="Q33" s="20"/>
      <c r="R33" s="18"/>
      <c r="S33" s="16"/>
      <c r="AMJ33"/>
    </row>
    <row r="34" spans="1:1024" s="2" customFormat="1" x14ac:dyDescent="0.2">
      <c r="A34" s="21" t="s">
        <v>1</v>
      </c>
      <c r="B34" s="18" t="s">
        <v>50</v>
      </c>
      <c r="C34" s="7" t="s">
        <v>64</v>
      </c>
      <c r="D34" s="4" t="s">
        <v>65</v>
      </c>
      <c r="E34" s="3" t="s">
        <v>6</v>
      </c>
      <c r="F34" s="4"/>
      <c r="G34" s="17" t="s">
        <v>36</v>
      </c>
      <c r="I34" s="20"/>
      <c r="J34" s="18"/>
      <c r="K34" s="16"/>
      <c r="M34" s="20"/>
      <c r="N34" s="18"/>
      <c r="O34" s="16"/>
      <c r="Q34" s="20"/>
      <c r="R34" s="18"/>
      <c r="S34" s="16"/>
      <c r="AMJ34"/>
    </row>
    <row r="35" spans="1:1024" s="2" customFormat="1" x14ac:dyDescent="0.2">
      <c r="A35" s="21" t="s">
        <v>35</v>
      </c>
      <c r="B35" s="18" t="s">
        <v>50</v>
      </c>
      <c r="C35" s="7" t="s">
        <v>66</v>
      </c>
      <c r="D35" s="4" t="s">
        <v>67</v>
      </c>
      <c r="E35" s="3" t="s">
        <v>10</v>
      </c>
      <c r="F35" s="4"/>
      <c r="G35" s="17" t="s">
        <v>36</v>
      </c>
      <c r="I35" s="20"/>
      <c r="J35" s="18"/>
      <c r="K35" s="16"/>
      <c r="M35" s="20"/>
      <c r="N35" s="18"/>
      <c r="O35" s="16"/>
      <c r="Q35" s="20"/>
      <c r="R35" s="18"/>
      <c r="S35" s="16"/>
      <c r="AMJ35"/>
    </row>
    <row r="36" spans="1:1024" s="2" customFormat="1" x14ac:dyDescent="0.2">
      <c r="A36" s="21" t="s">
        <v>35</v>
      </c>
      <c r="B36" s="18" t="s">
        <v>50</v>
      </c>
      <c r="C36" s="7" t="s">
        <v>68</v>
      </c>
      <c r="D36" s="4" t="s">
        <v>69</v>
      </c>
      <c r="E36" s="3" t="s">
        <v>6</v>
      </c>
      <c r="F36" s="4"/>
      <c r="G36" s="17" t="s">
        <v>36</v>
      </c>
      <c r="I36" s="20"/>
      <c r="J36" s="18"/>
      <c r="K36" s="16"/>
      <c r="M36" s="20"/>
      <c r="N36" s="18"/>
      <c r="O36" s="16"/>
      <c r="Q36" s="20"/>
      <c r="R36" s="18"/>
      <c r="S36" s="16"/>
      <c r="AMJ36"/>
    </row>
    <row r="37" spans="1:1024" s="2" customFormat="1" x14ac:dyDescent="0.2">
      <c r="A37" s="21" t="s">
        <v>35</v>
      </c>
      <c r="B37" s="18" t="s">
        <v>50</v>
      </c>
      <c r="C37" s="7" t="s">
        <v>70</v>
      </c>
      <c r="D37" s="4" t="s">
        <v>71</v>
      </c>
      <c r="E37" s="3" t="s">
        <v>10</v>
      </c>
      <c r="F37" s="4"/>
      <c r="G37" s="17" t="s">
        <v>36</v>
      </c>
      <c r="I37" s="20"/>
      <c r="J37" s="18"/>
      <c r="K37" s="16"/>
      <c r="M37" s="20"/>
      <c r="N37" s="18"/>
      <c r="O37" s="16"/>
      <c r="Q37" s="20"/>
      <c r="R37" s="18"/>
      <c r="S37" s="16"/>
      <c r="AMJ37"/>
    </row>
    <row r="38" spans="1:1024" s="2" customFormat="1" x14ac:dyDescent="0.2">
      <c r="A38" s="21" t="s">
        <v>37</v>
      </c>
      <c r="B38" s="18" t="s">
        <v>50</v>
      </c>
      <c r="C38" s="7" t="s">
        <v>72</v>
      </c>
      <c r="D38" s="4" t="s">
        <v>71</v>
      </c>
      <c r="E38" s="3" t="s">
        <v>10</v>
      </c>
      <c r="F38" s="4"/>
      <c r="G38" s="17" t="s">
        <v>36</v>
      </c>
      <c r="I38" s="20"/>
      <c r="J38" s="18"/>
      <c r="K38" s="16"/>
      <c r="M38" s="20"/>
      <c r="N38" s="18"/>
      <c r="O38" s="16"/>
      <c r="Q38" s="20"/>
      <c r="R38" s="18"/>
      <c r="S38" s="16"/>
      <c r="AMJ38"/>
    </row>
    <row r="39" spans="1:1024" s="2" customFormat="1" x14ac:dyDescent="0.2">
      <c r="A39" s="21" t="s">
        <v>37</v>
      </c>
      <c r="B39" s="18" t="s">
        <v>50</v>
      </c>
      <c r="C39" s="7" t="s">
        <v>73</v>
      </c>
      <c r="D39" s="4" t="s">
        <v>74</v>
      </c>
      <c r="E39" s="3" t="s">
        <v>10</v>
      </c>
      <c r="F39" s="4"/>
      <c r="G39" s="17" t="s">
        <v>36</v>
      </c>
      <c r="I39" s="20"/>
      <c r="J39" s="18"/>
      <c r="K39" s="16"/>
      <c r="M39" s="20"/>
      <c r="N39" s="18"/>
      <c r="O39" s="16"/>
      <c r="Q39" s="20"/>
      <c r="R39" s="18"/>
      <c r="S39" s="16"/>
      <c r="AMJ39"/>
    </row>
    <row r="40" spans="1:1024" s="2" customFormat="1" x14ac:dyDescent="0.2">
      <c r="A40" s="21" t="s">
        <v>37</v>
      </c>
      <c r="B40" s="18" t="s">
        <v>50</v>
      </c>
      <c r="C40" s="7" t="s">
        <v>75</v>
      </c>
      <c r="D40" s="4" t="s">
        <v>74</v>
      </c>
      <c r="E40" s="3" t="s">
        <v>10</v>
      </c>
      <c r="F40" s="4"/>
      <c r="G40" s="17" t="s">
        <v>36</v>
      </c>
      <c r="I40" s="20"/>
      <c r="J40" s="18"/>
      <c r="K40" s="16"/>
      <c r="M40" s="20"/>
      <c r="N40" s="18"/>
      <c r="O40" s="16"/>
      <c r="Q40" s="20"/>
      <c r="R40" s="18"/>
      <c r="S40" s="16"/>
      <c r="AMJ40"/>
    </row>
    <row r="41" spans="1:1024" s="2" customFormat="1" x14ac:dyDescent="0.2">
      <c r="A41" s="21" t="s">
        <v>37</v>
      </c>
      <c r="B41" s="18" t="s">
        <v>50</v>
      </c>
      <c r="C41" s="7" t="s">
        <v>76</v>
      </c>
      <c r="D41" s="4" t="s">
        <v>67</v>
      </c>
      <c r="E41" s="3" t="s">
        <v>10</v>
      </c>
      <c r="F41" s="4"/>
      <c r="G41" s="17" t="s">
        <v>36</v>
      </c>
      <c r="I41" s="20"/>
      <c r="J41" s="18"/>
      <c r="K41" s="16"/>
      <c r="M41" s="20"/>
      <c r="N41" s="18"/>
      <c r="O41" s="16"/>
      <c r="Q41" s="20"/>
      <c r="R41" s="18"/>
      <c r="S41" s="16"/>
      <c r="AMJ41"/>
    </row>
    <row r="42" spans="1:1024" s="2" customFormat="1" x14ac:dyDescent="0.2">
      <c r="A42" s="21" t="s">
        <v>37</v>
      </c>
      <c r="B42" s="4" t="s">
        <v>77</v>
      </c>
      <c r="C42" s="7" t="s">
        <v>78</v>
      </c>
      <c r="D42" s="4" t="s">
        <v>79</v>
      </c>
      <c r="E42" s="3" t="s">
        <v>10</v>
      </c>
      <c r="F42" s="4"/>
      <c r="G42" s="17" t="s">
        <v>36</v>
      </c>
      <c r="I42" s="20"/>
      <c r="J42" s="18"/>
      <c r="K42" s="16"/>
      <c r="M42" s="20"/>
      <c r="N42" s="18"/>
      <c r="O42" s="16"/>
      <c r="Q42" s="20"/>
      <c r="R42" s="18"/>
      <c r="S42" s="16"/>
      <c r="AMJ42"/>
    </row>
    <row r="43" spans="1:1024" s="2" customFormat="1" x14ac:dyDescent="0.2">
      <c r="A43" s="21" t="s">
        <v>37</v>
      </c>
      <c r="B43" s="4" t="s">
        <v>77</v>
      </c>
      <c r="C43" s="7" t="s">
        <v>80</v>
      </c>
      <c r="D43" s="4" t="s">
        <v>71</v>
      </c>
      <c r="E43" s="3" t="s">
        <v>10</v>
      </c>
      <c r="F43" s="4"/>
      <c r="G43" s="17" t="s">
        <v>36</v>
      </c>
      <c r="I43" s="20"/>
      <c r="J43" s="18"/>
      <c r="K43" s="16"/>
      <c r="M43" s="20"/>
      <c r="N43" s="18"/>
      <c r="O43" s="16"/>
      <c r="Q43" s="20"/>
      <c r="R43" s="18"/>
      <c r="S43" s="16"/>
      <c r="AMJ43"/>
    </row>
    <row r="44" spans="1:1024" s="2" customFormat="1" x14ac:dyDescent="0.2">
      <c r="A44" s="21" t="s">
        <v>37</v>
      </c>
      <c r="B44" s="4" t="s">
        <v>77</v>
      </c>
      <c r="C44" s="7" t="s">
        <v>81</v>
      </c>
      <c r="D44" s="4" t="s">
        <v>71</v>
      </c>
      <c r="E44" s="3" t="s">
        <v>10</v>
      </c>
      <c r="F44" s="4"/>
      <c r="G44" s="17" t="s">
        <v>36</v>
      </c>
      <c r="I44" s="20"/>
      <c r="J44" s="18"/>
      <c r="K44" s="16"/>
      <c r="M44" s="20"/>
      <c r="N44" s="18"/>
      <c r="O44" s="16"/>
      <c r="Q44" s="20"/>
      <c r="R44" s="18"/>
      <c r="S44" s="16"/>
      <c r="AMJ44"/>
    </row>
    <row r="45" spans="1:1024" s="2" customFormat="1" x14ac:dyDescent="0.2">
      <c r="A45" s="21" t="s">
        <v>37</v>
      </c>
      <c r="B45" s="4" t="s">
        <v>77</v>
      </c>
      <c r="C45" s="7" t="s">
        <v>82</v>
      </c>
      <c r="D45" s="4" t="s">
        <v>74</v>
      </c>
      <c r="E45" s="3" t="s">
        <v>10</v>
      </c>
      <c r="F45" s="4"/>
      <c r="G45" s="17" t="s">
        <v>36</v>
      </c>
      <c r="I45" s="20"/>
      <c r="J45" s="18"/>
      <c r="K45" s="16"/>
      <c r="M45" s="20"/>
      <c r="N45" s="18"/>
      <c r="O45" s="16"/>
      <c r="Q45" s="20"/>
      <c r="R45" s="18"/>
      <c r="S45" s="16"/>
      <c r="AMJ45"/>
    </row>
    <row r="46" spans="1:1024" s="2" customFormat="1" x14ac:dyDescent="0.2">
      <c r="A46" s="21" t="s">
        <v>37</v>
      </c>
      <c r="B46" s="4" t="s">
        <v>77</v>
      </c>
      <c r="C46" s="7" t="s">
        <v>83</v>
      </c>
      <c r="D46" s="4" t="s">
        <v>74</v>
      </c>
      <c r="E46" s="3" t="s">
        <v>10</v>
      </c>
      <c r="F46" s="4"/>
      <c r="G46" s="17" t="s">
        <v>36</v>
      </c>
      <c r="I46" s="20"/>
      <c r="J46" s="18"/>
      <c r="K46" s="16"/>
      <c r="M46" s="20"/>
      <c r="N46" s="18"/>
      <c r="O46" s="16"/>
      <c r="Q46" s="20"/>
      <c r="R46" s="18"/>
      <c r="S46" s="16"/>
      <c r="AMJ46"/>
    </row>
    <row r="47" spans="1:1024" s="2" customFormat="1" x14ac:dyDescent="0.2">
      <c r="A47" s="21" t="s">
        <v>37</v>
      </c>
      <c r="B47" s="4" t="s">
        <v>77</v>
      </c>
      <c r="C47" s="7" t="s">
        <v>84</v>
      </c>
      <c r="D47" s="4" t="s">
        <v>71</v>
      </c>
      <c r="E47" s="3" t="s">
        <v>10</v>
      </c>
      <c r="F47" s="4"/>
      <c r="G47" s="17" t="s">
        <v>36</v>
      </c>
      <c r="I47" s="20"/>
      <c r="J47" s="18"/>
      <c r="K47" s="16"/>
      <c r="M47" s="20"/>
      <c r="N47" s="18"/>
      <c r="O47" s="16"/>
      <c r="Q47" s="20"/>
      <c r="R47" s="18"/>
      <c r="S47" s="16"/>
      <c r="AMJ47"/>
    </row>
    <row r="48" spans="1:1024" s="2" customFormat="1" x14ac:dyDescent="0.2">
      <c r="A48" s="21" t="s">
        <v>37</v>
      </c>
      <c r="B48" s="4" t="s">
        <v>77</v>
      </c>
      <c r="C48" s="7" t="s">
        <v>85</v>
      </c>
      <c r="D48" s="4" t="s">
        <v>74</v>
      </c>
      <c r="E48" s="3" t="s">
        <v>10</v>
      </c>
      <c r="F48" s="4"/>
      <c r="G48" s="17" t="s">
        <v>36</v>
      </c>
      <c r="I48" s="20"/>
      <c r="J48" s="18"/>
      <c r="K48" s="16"/>
      <c r="M48" s="20"/>
      <c r="N48" s="18"/>
      <c r="O48" s="16"/>
      <c r="Q48" s="20"/>
      <c r="R48" s="18"/>
      <c r="S48" s="16"/>
      <c r="AMJ48"/>
    </row>
    <row r="49" spans="1:1024" s="2" customFormat="1" x14ac:dyDescent="0.2">
      <c r="A49" s="21" t="s">
        <v>37</v>
      </c>
      <c r="B49" s="4" t="s">
        <v>77</v>
      </c>
      <c r="C49" s="7" t="s">
        <v>86</v>
      </c>
      <c r="D49" s="4" t="s">
        <v>87</v>
      </c>
      <c r="E49" s="3" t="s">
        <v>10</v>
      </c>
      <c r="F49" s="4"/>
      <c r="G49" s="17" t="s">
        <v>36</v>
      </c>
      <c r="I49" s="21"/>
      <c r="J49" s="18"/>
      <c r="K49" s="16"/>
      <c r="M49" s="21"/>
      <c r="N49" s="18"/>
      <c r="O49" s="16"/>
      <c r="Q49" s="21"/>
      <c r="R49" s="18"/>
      <c r="S49" s="16"/>
      <c r="AMJ49"/>
    </row>
    <row r="50" spans="1:1024" s="2" customFormat="1" x14ac:dyDescent="0.2">
      <c r="A50" s="21" t="s">
        <v>37</v>
      </c>
      <c r="B50" s="4" t="s">
        <v>77</v>
      </c>
      <c r="C50" s="7" t="s">
        <v>88</v>
      </c>
      <c r="D50" s="4" t="s">
        <v>89</v>
      </c>
      <c r="E50" s="3" t="s">
        <v>10</v>
      </c>
      <c r="F50" s="4"/>
      <c r="G50" s="17" t="s">
        <v>36</v>
      </c>
      <c r="I50" s="21"/>
      <c r="J50" s="18"/>
      <c r="K50" s="16"/>
      <c r="M50" s="21"/>
      <c r="N50" s="18"/>
      <c r="O50" s="16"/>
      <c r="Q50" s="21"/>
      <c r="R50" s="18"/>
      <c r="S50" s="16"/>
      <c r="AMJ50"/>
    </row>
    <row r="51" spans="1:1024" s="2" customFormat="1" x14ac:dyDescent="0.2">
      <c r="A51" s="21" t="s">
        <v>37</v>
      </c>
      <c r="B51" s="4" t="s">
        <v>77</v>
      </c>
      <c r="C51" s="7" t="s">
        <v>90</v>
      </c>
      <c r="D51" s="4" t="s">
        <v>91</v>
      </c>
      <c r="E51" s="3" t="s">
        <v>10</v>
      </c>
      <c r="F51" s="4"/>
      <c r="G51" s="17" t="s">
        <v>36</v>
      </c>
      <c r="I51" s="21"/>
      <c r="J51" s="18"/>
      <c r="K51" s="16"/>
      <c r="M51" s="21"/>
      <c r="N51" s="18"/>
      <c r="O51" s="16"/>
      <c r="Q51" s="21"/>
      <c r="R51" s="18"/>
      <c r="S51" s="16"/>
      <c r="AMJ51"/>
    </row>
    <row r="52" spans="1:1024" s="2" customFormat="1" x14ac:dyDescent="0.2">
      <c r="A52" s="21" t="s">
        <v>37</v>
      </c>
      <c r="B52" s="4" t="s">
        <v>77</v>
      </c>
      <c r="C52" s="7" t="s">
        <v>92</v>
      </c>
      <c r="D52" s="4" t="s">
        <v>93</v>
      </c>
      <c r="E52" s="3" t="s">
        <v>10</v>
      </c>
      <c r="F52" s="4"/>
      <c r="G52" s="17" t="s">
        <v>36</v>
      </c>
      <c r="I52" s="21"/>
      <c r="J52" s="18"/>
      <c r="K52" s="16"/>
      <c r="M52" s="21"/>
      <c r="N52" s="18"/>
      <c r="O52" s="16"/>
      <c r="Q52" s="21"/>
      <c r="R52" s="18"/>
      <c r="S52" s="16"/>
      <c r="AMJ52"/>
    </row>
    <row r="53" spans="1:1024" s="2" customFormat="1" x14ac:dyDescent="0.2">
      <c r="A53" s="21" t="s">
        <v>37</v>
      </c>
      <c r="B53" s="4" t="s">
        <v>77</v>
      </c>
      <c r="C53" s="7" t="s">
        <v>94</v>
      </c>
      <c r="D53" s="4" t="s">
        <v>95</v>
      </c>
      <c r="E53" s="3" t="s">
        <v>10</v>
      </c>
      <c r="F53" s="4"/>
      <c r="G53" s="17" t="s">
        <v>36</v>
      </c>
      <c r="I53" s="21"/>
      <c r="J53" s="18"/>
      <c r="K53" s="16"/>
      <c r="M53" s="21"/>
      <c r="N53" s="18"/>
      <c r="O53" s="16"/>
      <c r="Q53" s="21"/>
      <c r="R53" s="18"/>
      <c r="S53" s="16"/>
      <c r="AMJ53"/>
    </row>
    <row r="54" spans="1:1024" s="2" customFormat="1" x14ac:dyDescent="0.2">
      <c r="A54" s="21" t="s">
        <v>1</v>
      </c>
      <c r="B54" s="4" t="s">
        <v>77</v>
      </c>
      <c r="C54" s="7" t="s">
        <v>96</v>
      </c>
      <c r="D54" s="4" t="s">
        <v>97</v>
      </c>
      <c r="E54" s="3" t="s">
        <v>6</v>
      </c>
      <c r="F54" s="4"/>
      <c r="G54" s="17" t="s">
        <v>36</v>
      </c>
      <c r="I54" s="21"/>
      <c r="J54" s="18"/>
      <c r="K54" s="16"/>
      <c r="M54" s="21"/>
      <c r="N54" s="18"/>
      <c r="O54" s="16"/>
      <c r="Q54" s="21"/>
      <c r="R54" s="18"/>
      <c r="S54" s="16"/>
      <c r="AMJ54"/>
    </row>
    <row r="55" spans="1:1024" s="2" customFormat="1" x14ac:dyDescent="0.2">
      <c r="A55" s="21" t="s">
        <v>37</v>
      </c>
      <c r="B55" s="4" t="s">
        <v>77</v>
      </c>
      <c r="C55" s="7" t="s">
        <v>98</v>
      </c>
      <c r="D55" s="4" t="s">
        <v>67</v>
      </c>
      <c r="E55" s="3" t="s">
        <v>10</v>
      </c>
      <c r="F55" s="4"/>
      <c r="G55" s="17" t="s">
        <v>36</v>
      </c>
      <c r="I55" s="21"/>
      <c r="J55" s="18"/>
      <c r="K55" s="16"/>
      <c r="M55" s="21"/>
      <c r="N55" s="18"/>
      <c r="O55" s="16"/>
      <c r="Q55" s="21"/>
      <c r="R55" s="18"/>
      <c r="S55" s="16"/>
      <c r="AMJ55"/>
    </row>
    <row r="56" spans="1:1024" s="2" customFormat="1" x14ac:dyDescent="0.2">
      <c r="A56" s="21" t="s">
        <v>37</v>
      </c>
      <c r="B56" s="4" t="s">
        <v>77</v>
      </c>
      <c r="C56" s="7" t="s">
        <v>99</v>
      </c>
      <c r="D56" s="4" t="s">
        <v>100</v>
      </c>
      <c r="E56" s="3" t="s">
        <v>10</v>
      </c>
      <c r="F56" s="4"/>
      <c r="G56" s="17" t="s">
        <v>36</v>
      </c>
      <c r="I56" s="21"/>
      <c r="J56" s="18"/>
      <c r="K56" s="16"/>
      <c r="M56" s="21"/>
      <c r="N56" s="18"/>
      <c r="O56" s="16"/>
      <c r="Q56" s="21"/>
      <c r="R56" s="18"/>
      <c r="S56" s="16"/>
      <c r="AMJ56"/>
    </row>
    <row r="57" spans="1:1024" s="2" customFormat="1" x14ac:dyDescent="0.2">
      <c r="A57" s="21" t="s">
        <v>37</v>
      </c>
      <c r="B57" s="4" t="s">
        <v>77</v>
      </c>
      <c r="C57" s="7" t="s">
        <v>101</v>
      </c>
      <c r="D57" s="4" t="s">
        <v>67</v>
      </c>
      <c r="E57" s="3" t="s">
        <v>10</v>
      </c>
      <c r="F57" s="4"/>
      <c r="G57" s="17" t="s">
        <v>36</v>
      </c>
      <c r="I57" s="21"/>
      <c r="J57" s="18"/>
      <c r="K57" s="16"/>
      <c r="M57" s="21"/>
      <c r="N57" s="18"/>
      <c r="O57" s="16"/>
      <c r="Q57" s="21"/>
      <c r="R57" s="18"/>
      <c r="S57" s="16"/>
      <c r="AMJ57"/>
    </row>
    <row r="58" spans="1:1024" s="2" customFormat="1" x14ac:dyDescent="0.2">
      <c r="A58" s="21" t="s">
        <v>37</v>
      </c>
      <c r="B58" s="4" t="s">
        <v>77</v>
      </c>
      <c r="C58" s="7" t="s">
        <v>102</v>
      </c>
      <c r="D58" s="4" t="s">
        <v>103</v>
      </c>
      <c r="E58" s="3" t="s">
        <v>10</v>
      </c>
      <c r="F58" s="4"/>
      <c r="G58" s="17" t="s">
        <v>36</v>
      </c>
      <c r="I58" s="21"/>
      <c r="J58" s="18"/>
      <c r="K58" s="16"/>
      <c r="M58" s="21"/>
      <c r="N58" s="18"/>
      <c r="O58" s="16"/>
      <c r="Q58" s="21"/>
      <c r="R58" s="18"/>
      <c r="S58" s="16"/>
      <c r="AMJ58"/>
    </row>
    <row r="59" spans="1:1024" x14ac:dyDescent="0.2">
      <c r="A59" s="21" t="s">
        <v>37</v>
      </c>
      <c r="B59" s="4" t="s">
        <v>77</v>
      </c>
      <c r="C59" s="7" t="s">
        <v>104</v>
      </c>
      <c r="D59" s="4" t="s">
        <v>105</v>
      </c>
      <c r="E59" s="3" t="s">
        <v>10</v>
      </c>
      <c r="G59" s="17" t="s">
        <v>36</v>
      </c>
      <c r="H59" s="15"/>
      <c r="I59" s="15"/>
      <c r="J59" s="15"/>
      <c r="K59" s="15"/>
      <c r="L59" s="15"/>
      <c r="M59" s="15"/>
      <c r="N59" s="15"/>
      <c r="O59" s="15"/>
      <c r="P59" s="15"/>
      <c r="Q59" s="15"/>
      <c r="R59" s="15"/>
      <c r="S59" s="15"/>
      <c r="T59" s="15"/>
    </row>
    <row r="60" spans="1:1024" s="2" customFormat="1" x14ac:dyDescent="0.2">
      <c r="A60" s="21" t="s">
        <v>37</v>
      </c>
      <c r="B60" s="4" t="s">
        <v>77</v>
      </c>
      <c r="C60" s="7" t="s">
        <v>106</v>
      </c>
      <c r="D60" s="4" t="s">
        <v>107</v>
      </c>
      <c r="E60" s="3" t="s">
        <v>10</v>
      </c>
      <c r="F60" s="4"/>
      <c r="G60" s="17" t="s">
        <v>36</v>
      </c>
      <c r="H60" s="4"/>
      <c r="J60" s="18"/>
      <c r="K60" s="16"/>
      <c r="L60" s="4"/>
      <c r="N60" s="18"/>
      <c r="O60" s="16"/>
      <c r="P60" s="4"/>
      <c r="R60" s="18"/>
      <c r="S60" s="16"/>
      <c r="T60" s="4"/>
      <c r="AMJ60"/>
    </row>
    <row r="61" spans="1:1024" s="2" customFormat="1" x14ac:dyDescent="0.2">
      <c r="A61" s="21" t="s">
        <v>37</v>
      </c>
      <c r="B61" s="4" t="s">
        <v>77</v>
      </c>
      <c r="C61" s="7" t="s">
        <v>108</v>
      </c>
      <c r="D61" s="4" t="s">
        <v>109</v>
      </c>
      <c r="E61" s="3" t="s">
        <v>10</v>
      </c>
      <c r="F61" s="4"/>
      <c r="G61" s="17" t="s">
        <v>36</v>
      </c>
      <c r="J61" s="18"/>
      <c r="K61" s="16"/>
      <c r="N61" s="18"/>
      <c r="O61" s="16"/>
      <c r="R61" s="18"/>
      <c r="S61" s="16"/>
      <c r="AMJ61"/>
    </row>
    <row r="62" spans="1:1024" s="2" customFormat="1" x14ac:dyDescent="0.2">
      <c r="A62" s="21" t="s">
        <v>37</v>
      </c>
      <c r="B62" s="4" t="s">
        <v>77</v>
      </c>
      <c r="C62" s="7" t="s">
        <v>110</v>
      </c>
      <c r="D62" s="4" t="s">
        <v>111</v>
      </c>
      <c r="E62" s="3" t="s">
        <v>10</v>
      </c>
      <c r="F62" s="4"/>
      <c r="G62" s="17" t="s">
        <v>36</v>
      </c>
      <c r="J62" s="18"/>
      <c r="K62" s="16"/>
      <c r="N62" s="18"/>
      <c r="O62" s="16"/>
      <c r="R62" s="18"/>
      <c r="S62" s="16"/>
      <c r="AMJ62"/>
    </row>
    <row r="63" spans="1:1024" s="2" customFormat="1" x14ac:dyDescent="0.2">
      <c r="A63" s="21" t="s">
        <v>37</v>
      </c>
      <c r="B63" s="4" t="s">
        <v>77</v>
      </c>
      <c r="C63" s="7" t="s">
        <v>112</v>
      </c>
      <c r="D63" s="4" t="s">
        <v>113</v>
      </c>
      <c r="E63" s="3" t="s">
        <v>10</v>
      </c>
      <c r="F63" s="4"/>
      <c r="G63" s="17" t="s">
        <v>36</v>
      </c>
      <c r="I63" s="21"/>
      <c r="J63" s="18"/>
      <c r="K63" s="16"/>
      <c r="M63" s="21"/>
      <c r="N63" s="18"/>
      <c r="O63" s="16"/>
      <c r="Q63" s="21"/>
      <c r="R63" s="18"/>
      <c r="S63" s="16"/>
      <c r="AMJ63"/>
    </row>
    <row r="64" spans="1:1024" s="2" customFormat="1" x14ac:dyDescent="0.2">
      <c r="A64" s="21" t="s">
        <v>37</v>
      </c>
      <c r="B64" s="4" t="s">
        <v>77</v>
      </c>
      <c r="C64" s="7" t="s">
        <v>114</v>
      </c>
      <c r="D64" s="4" t="s">
        <v>115</v>
      </c>
      <c r="E64" s="3" t="s">
        <v>10</v>
      </c>
      <c r="F64" s="4"/>
      <c r="G64" s="17" t="s">
        <v>36</v>
      </c>
      <c r="I64" s="21"/>
      <c r="J64" s="18"/>
      <c r="K64" s="16"/>
      <c r="M64" s="21"/>
      <c r="N64" s="18"/>
      <c r="O64" s="16"/>
      <c r="Q64" s="21"/>
      <c r="R64" s="18"/>
      <c r="S64" s="16"/>
      <c r="AMJ64"/>
    </row>
    <row r="65" spans="1:1024" s="2" customFormat="1" x14ac:dyDescent="0.2">
      <c r="A65" s="21" t="s">
        <v>37</v>
      </c>
      <c r="B65" s="4" t="s">
        <v>77</v>
      </c>
      <c r="C65" s="7" t="s">
        <v>116</v>
      </c>
      <c r="D65" s="4" t="s">
        <v>117</v>
      </c>
      <c r="E65" s="3" t="s">
        <v>10</v>
      </c>
      <c r="F65" s="4"/>
      <c r="G65" s="17" t="s">
        <v>36</v>
      </c>
      <c r="I65" s="21"/>
      <c r="J65" s="18"/>
      <c r="K65" s="16"/>
      <c r="M65" s="21"/>
      <c r="N65" s="18"/>
      <c r="O65" s="16"/>
      <c r="Q65" s="21"/>
      <c r="R65" s="18"/>
      <c r="S65" s="16"/>
      <c r="AMJ65"/>
    </row>
    <row r="66" spans="1:1024" s="2" customFormat="1" x14ac:dyDescent="0.2">
      <c r="A66" s="21" t="s">
        <v>37</v>
      </c>
      <c r="B66" s="4" t="s">
        <v>118</v>
      </c>
      <c r="C66" s="16" t="s">
        <v>119</v>
      </c>
      <c r="D66" s="16" t="s">
        <v>120</v>
      </c>
      <c r="E66" s="3" t="s">
        <v>10</v>
      </c>
      <c r="G66" s="17" t="s">
        <v>36</v>
      </c>
      <c r="I66" s="21"/>
      <c r="J66" s="18"/>
      <c r="K66" s="16"/>
      <c r="M66" s="21"/>
      <c r="N66" s="18"/>
      <c r="O66" s="16"/>
      <c r="Q66" s="21"/>
      <c r="R66" s="18"/>
      <c r="S66" s="16"/>
      <c r="AMJ66"/>
    </row>
    <row r="67" spans="1:1024" s="2" customFormat="1" x14ac:dyDescent="0.2">
      <c r="A67" s="21" t="s">
        <v>37</v>
      </c>
      <c r="B67" s="4" t="s">
        <v>118</v>
      </c>
      <c r="C67" s="16" t="s">
        <v>121</v>
      </c>
      <c r="D67" s="16" t="s">
        <v>122</v>
      </c>
      <c r="E67" s="3" t="s">
        <v>10</v>
      </c>
      <c r="G67" s="17" t="s">
        <v>36</v>
      </c>
      <c r="I67" s="21"/>
      <c r="J67" s="18"/>
      <c r="K67" s="16"/>
      <c r="M67" s="21"/>
      <c r="N67" s="18"/>
      <c r="O67" s="16"/>
      <c r="Q67" s="21"/>
      <c r="R67" s="18"/>
      <c r="S67" s="16"/>
      <c r="AMJ67"/>
    </row>
    <row r="68" spans="1:1024" s="2" customFormat="1" x14ac:dyDescent="0.2">
      <c r="A68" s="21" t="s">
        <v>37</v>
      </c>
      <c r="B68" s="4" t="s">
        <v>118</v>
      </c>
      <c r="C68" s="16" t="s">
        <v>123</v>
      </c>
      <c r="D68" s="16" t="s">
        <v>124</v>
      </c>
      <c r="E68" s="3" t="s">
        <v>10</v>
      </c>
      <c r="G68" s="17" t="s">
        <v>36</v>
      </c>
      <c r="I68" s="21"/>
      <c r="J68" s="18"/>
      <c r="K68" s="16"/>
      <c r="M68" s="21"/>
      <c r="N68" s="18"/>
      <c r="O68" s="16"/>
      <c r="Q68" s="21"/>
      <c r="R68" s="18"/>
      <c r="S68" s="16"/>
      <c r="AMJ68"/>
    </row>
    <row r="69" spans="1:1024" s="2" customFormat="1" x14ac:dyDescent="0.2">
      <c r="A69" s="21" t="s">
        <v>37</v>
      </c>
      <c r="B69" s="4" t="s">
        <v>118</v>
      </c>
      <c r="C69" s="16" t="s">
        <v>125</v>
      </c>
      <c r="D69" s="16" t="s">
        <v>126</v>
      </c>
      <c r="E69" s="3" t="s">
        <v>10</v>
      </c>
      <c r="G69" s="17" t="s">
        <v>36</v>
      </c>
      <c r="I69" s="21"/>
      <c r="J69" s="18"/>
      <c r="K69" s="16"/>
      <c r="M69" s="21"/>
      <c r="N69" s="18"/>
      <c r="O69" s="16"/>
      <c r="Q69" s="21"/>
      <c r="R69" s="18"/>
      <c r="S69" s="16"/>
      <c r="AMJ69"/>
    </row>
    <row r="70" spans="1:1024" s="2" customFormat="1" x14ac:dyDescent="0.2">
      <c r="A70" s="21" t="s">
        <v>1</v>
      </c>
      <c r="B70" s="4" t="s">
        <v>118</v>
      </c>
      <c r="C70" s="16" t="s">
        <v>127</v>
      </c>
      <c r="D70" s="16" t="s">
        <v>128</v>
      </c>
      <c r="E70" s="3" t="s">
        <v>6</v>
      </c>
      <c r="G70" s="17" t="s">
        <v>36</v>
      </c>
      <c r="I70" s="21"/>
      <c r="J70" s="18"/>
      <c r="K70" s="16"/>
      <c r="M70" s="21"/>
      <c r="N70" s="18"/>
      <c r="O70" s="16"/>
      <c r="Q70" s="21"/>
      <c r="R70" s="18"/>
      <c r="S70" s="16"/>
      <c r="AMJ70"/>
    </row>
    <row r="71" spans="1:1024" s="2" customFormat="1" x14ac:dyDescent="0.2">
      <c r="A71" s="21" t="s">
        <v>37</v>
      </c>
      <c r="B71" s="4" t="s">
        <v>118</v>
      </c>
      <c r="C71" s="16" t="s">
        <v>129</v>
      </c>
      <c r="D71" s="16" t="s">
        <v>130</v>
      </c>
      <c r="E71" s="3" t="s">
        <v>10</v>
      </c>
      <c r="G71" s="17" t="s">
        <v>36</v>
      </c>
      <c r="I71" s="21"/>
      <c r="J71" s="18"/>
      <c r="K71" s="16"/>
      <c r="M71" s="21"/>
      <c r="N71" s="18"/>
      <c r="O71" s="16"/>
      <c r="Q71" s="21"/>
      <c r="R71" s="18"/>
      <c r="S71" s="16"/>
      <c r="AMJ71"/>
    </row>
    <row r="72" spans="1:1024" s="2" customFormat="1" x14ac:dyDescent="0.2">
      <c r="A72" s="21" t="s">
        <v>37</v>
      </c>
      <c r="B72" s="4" t="s">
        <v>118</v>
      </c>
      <c r="C72" s="16" t="s">
        <v>131</v>
      </c>
      <c r="D72" s="16" t="s">
        <v>132</v>
      </c>
      <c r="E72" s="3" t="s">
        <v>10</v>
      </c>
      <c r="G72" s="17" t="s">
        <v>36</v>
      </c>
      <c r="I72" s="21"/>
      <c r="J72" s="18"/>
      <c r="K72" s="16"/>
      <c r="M72" s="21"/>
      <c r="N72" s="18"/>
      <c r="O72" s="16"/>
      <c r="Q72" s="21"/>
      <c r="R72" s="18"/>
      <c r="S72" s="16"/>
      <c r="AMJ72"/>
    </row>
    <row r="73" spans="1:1024" s="2" customFormat="1" x14ac:dyDescent="0.2">
      <c r="A73" s="21" t="s">
        <v>37</v>
      </c>
      <c r="B73" s="4" t="s">
        <v>118</v>
      </c>
      <c r="C73" s="16" t="s">
        <v>133</v>
      </c>
      <c r="D73" s="16" t="s">
        <v>134</v>
      </c>
      <c r="E73" s="3" t="s">
        <v>10</v>
      </c>
      <c r="G73" s="17" t="s">
        <v>36</v>
      </c>
      <c r="I73" s="21"/>
      <c r="J73" s="18"/>
      <c r="K73" s="16"/>
      <c r="M73" s="21"/>
      <c r="N73" s="18"/>
      <c r="O73" s="16"/>
      <c r="Q73" s="21"/>
      <c r="R73" s="18"/>
      <c r="S73" s="16"/>
      <c r="AMJ73"/>
    </row>
    <row r="74" spans="1:1024" s="2" customFormat="1" x14ac:dyDescent="0.2">
      <c r="A74" s="21" t="s">
        <v>37</v>
      </c>
      <c r="B74" s="4" t="s">
        <v>118</v>
      </c>
      <c r="C74" s="16" t="s">
        <v>135</v>
      </c>
      <c r="D74" s="16" t="s">
        <v>136</v>
      </c>
      <c r="E74" s="3" t="s">
        <v>10</v>
      </c>
      <c r="G74" s="17" t="s">
        <v>36</v>
      </c>
      <c r="I74" s="21"/>
      <c r="J74" s="18"/>
      <c r="K74" s="16"/>
      <c r="M74" s="21"/>
      <c r="N74" s="18"/>
      <c r="O74" s="16"/>
      <c r="Q74" s="21"/>
      <c r="R74" s="18"/>
      <c r="S74" s="16"/>
      <c r="AMJ74"/>
    </row>
    <row r="75" spans="1:1024" s="2" customFormat="1" x14ac:dyDescent="0.2">
      <c r="A75" s="21" t="s">
        <v>1</v>
      </c>
      <c r="B75" s="4" t="s">
        <v>118</v>
      </c>
      <c r="C75" s="16" t="s">
        <v>137</v>
      </c>
      <c r="D75" s="16" t="s">
        <v>138</v>
      </c>
      <c r="E75" s="3" t="s">
        <v>7</v>
      </c>
      <c r="G75" s="17" t="s">
        <v>36</v>
      </c>
      <c r="I75" s="21"/>
      <c r="J75" s="18"/>
      <c r="K75" s="16"/>
      <c r="M75" s="21"/>
      <c r="N75" s="18"/>
      <c r="O75" s="16"/>
      <c r="Q75" s="21"/>
      <c r="R75" s="18"/>
      <c r="S75" s="16"/>
      <c r="AMJ75"/>
    </row>
    <row r="76" spans="1:1024" s="2" customFormat="1" x14ac:dyDescent="0.2">
      <c r="A76" s="21" t="s">
        <v>1</v>
      </c>
      <c r="B76" s="4" t="s">
        <v>118</v>
      </c>
      <c r="C76" s="7" t="s">
        <v>139</v>
      </c>
      <c r="D76" s="4" t="s">
        <v>140</v>
      </c>
      <c r="E76" s="3" t="s">
        <v>8</v>
      </c>
      <c r="F76" s="4"/>
      <c r="G76" s="17" t="s">
        <v>36</v>
      </c>
      <c r="I76" s="21"/>
      <c r="J76" s="18"/>
      <c r="K76" s="16"/>
      <c r="M76" s="21"/>
      <c r="N76" s="18"/>
      <c r="O76" s="16"/>
      <c r="Q76" s="21"/>
      <c r="R76" s="18"/>
      <c r="S76" s="16"/>
      <c r="AMJ76"/>
    </row>
    <row r="77" spans="1:1024" s="2" customFormat="1" x14ac:dyDescent="0.2">
      <c r="A77" s="21" t="s">
        <v>37</v>
      </c>
      <c r="B77" s="4" t="s">
        <v>118</v>
      </c>
      <c r="C77" s="7" t="s">
        <v>141</v>
      </c>
      <c r="D77" s="4" t="s">
        <v>142</v>
      </c>
      <c r="E77" s="3" t="s">
        <v>10</v>
      </c>
      <c r="F77" s="4"/>
      <c r="G77" s="17" t="s">
        <v>36</v>
      </c>
      <c r="I77" s="21"/>
      <c r="J77" s="18"/>
      <c r="K77" s="16"/>
      <c r="M77" s="21"/>
      <c r="N77" s="18"/>
      <c r="O77" s="16"/>
      <c r="Q77" s="21"/>
      <c r="R77" s="18"/>
      <c r="S77" s="16"/>
      <c r="AMJ77"/>
    </row>
    <row r="78" spans="1:1024" s="2" customFormat="1" x14ac:dyDescent="0.2">
      <c r="A78" s="21" t="s">
        <v>37</v>
      </c>
      <c r="B78" s="19" t="s">
        <v>143</v>
      </c>
      <c r="C78" s="16" t="s">
        <v>144</v>
      </c>
      <c r="D78" s="16" t="s">
        <v>41</v>
      </c>
      <c r="E78" s="3" t="s">
        <v>10</v>
      </c>
      <c r="G78" s="17" t="s">
        <v>36</v>
      </c>
      <c r="I78" s="21"/>
      <c r="J78" s="18"/>
      <c r="K78" s="16"/>
      <c r="M78" s="21"/>
      <c r="N78" s="18"/>
      <c r="O78" s="16"/>
      <c r="Q78" s="21"/>
      <c r="R78" s="18"/>
      <c r="S78" s="16"/>
      <c r="AMJ78"/>
    </row>
    <row r="79" spans="1:1024" s="2" customFormat="1" x14ac:dyDescent="0.2">
      <c r="A79" s="21" t="s">
        <v>37</v>
      </c>
      <c r="B79" s="19" t="s">
        <v>143</v>
      </c>
      <c r="C79" s="16" t="s">
        <v>145</v>
      </c>
      <c r="D79" s="16" t="s">
        <v>146</v>
      </c>
      <c r="E79" s="3" t="s">
        <v>10</v>
      </c>
      <c r="G79" s="17" t="s">
        <v>36</v>
      </c>
      <c r="I79" s="21"/>
      <c r="J79" s="18"/>
      <c r="K79" s="16"/>
      <c r="M79" s="21"/>
      <c r="N79" s="18"/>
      <c r="O79" s="16"/>
      <c r="Q79" s="21"/>
      <c r="R79" s="18"/>
      <c r="S79" s="16"/>
      <c r="AMJ79"/>
    </row>
    <row r="80" spans="1:1024" s="2" customFormat="1" x14ac:dyDescent="0.2">
      <c r="A80" s="21" t="s">
        <v>1</v>
      </c>
      <c r="B80" s="19" t="s">
        <v>143</v>
      </c>
      <c r="C80" s="16" t="s">
        <v>147</v>
      </c>
      <c r="D80" s="16" t="s">
        <v>148</v>
      </c>
      <c r="E80" s="3" t="s">
        <v>6</v>
      </c>
      <c r="G80" s="17" t="s">
        <v>36</v>
      </c>
      <c r="I80" s="21"/>
      <c r="J80" s="18"/>
      <c r="K80" s="16"/>
      <c r="M80" s="21"/>
      <c r="N80" s="18"/>
      <c r="O80" s="16"/>
      <c r="Q80" s="21"/>
      <c r="R80" s="18"/>
      <c r="S80" s="16"/>
      <c r="AMJ80"/>
    </row>
    <row r="81" spans="1:1024" s="2" customFormat="1" x14ac:dyDescent="0.2">
      <c r="A81" s="21" t="s">
        <v>1</v>
      </c>
      <c r="B81" s="19" t="s">
        <v>143</v>
      </c>
      <c r="C81" s="16" t="s">
        <v>149</v>
      </c>
      <c r="D81" s="16" t="s">
        <v>150</v>
      </c>
      <c r="E81" s="3" t="s">
        <v>6</v>
      </c>
      <c r="G81" s="17" t="s">
        <v>36</v>
      </c>
      <c r="I81" s="21"/>
      <c r="J81" s="18"/>
      <c r="K81" s="16"/>
      <c r="M81" s="21"/>
      <c r="N81" s="18"/>
      <c r="O81" s="16"/>
      <c r="Q81" s="21"/>
      <c r="R81" s="18"/>
      <c r="S81" s="16"/>
      <c r="AMJ81"/>
    </row>
    <row r="82" spans="1:1024" s="2" customFormat="1" x14ac:dyDescent="0.2">
      <c r="A82" s="21" t="s">
        <v>1</v>
      </c>
      <c r="B82" s="19" t="s">
        <v>143</v>
      </c>
      <c r="C82" s="16" t="s">
        <v>151</v>
      </c>
      <c r="D82" s="16" t="s">
        <v>152</v>
      </c>
      <c r="E82" s="3" t="s">
        <v>6</v>
      </c>
      <c r="G82" s="17" t="s">
        <v>36</v>
      </c>
      <c r="I82" s="21"/>
      <c r="J82" s="18"/>
      <c r="K82" s="16"/>
      <c r="M82" s="21"/>
      <c r="N82" s="18"/>
      <c r="O82" s="16"/>
      <c r="Q82" s="21"/>
      <c r="R82" s="18"/>
      <c r="S82" s="16"/>
      <c r="AMJ82"/>
    </row>
    <row r="83" spans="1:1024" s="2" customFormat="1" x14ac:dyDescent="0.2">
      <c r="A83" s="21" t="s">
        <v>37</v>
      </c>
      <c r="B83" s="19" t="s">
        <v>143</v>
      </c>
      <c r="C83" s="16" t="s">
        <v>153</v>
      </c>
      <c r="D83" s="16" t="s">
        <v>154</v>
      </c>
      <c r="E83" s="3" t="s">
        <v>10</v>
      </c>
      <c r="G83" s="17" t="s">
        <v>36</v>
      </c>
      <c r="I83" s="21"/>
      <c r="J83" s="18"/>
      <c r="K83" s="16"/>
      <c r="M83" s="21"/>
      <c r="N83" s="18"/>
      <c r="O83" s="16"/>
      <c r="Q83" s="21"/>
      <c r="R83" s="18"/>
      <c r="S83" s="16"/>
      <c r="AMJ83"/>
    </row>
    <row r="84" spans="1:1024" s="2" customFormat="1" x14ac:dyDescent="0.2">
      <c r="A84" s="21" t="s">
        <v>37</v>
      </c>
      <c r="B84" s="19" t="s">
        <v>143</v>
      </c>
      <c r="C84" s="16" t="s">
        <v>155</v>
      </c>
      <c r="D84" s="16" t="s">
        <v>154</v>
      </c>
      <c r="E84" s="3" t="s">
        <v>10</v>
      </c>
      <c r="G84" s="17" t="s">
        <v>36</v>
      </c>
      <c r="I84" s="21"/>
      <c r="J84" s="18"/>
      <c r="K84" s="16"/>
      <c r="M84" s="21"/>
      <c r="N84" s="18"/>
      <c r="O84" s="16"/>
      <c r="Q84" s="21"/>
      <c r="R84" s="18"/>
      <c r="S84" s="16"/>
      <c r="AMJ84"/>
    </row>
    <row r="85" spans="1:1024" s="2" customFormat="1" x14ac:dyDescent="0.2">
      <c r="A85" s="21" t="s">
        <v>37</v>
      </c>
      <c r="B85" s="19" t="s">
        <v>143</v>
      </c>
      <c r="C85" s="16" t="s">
        <v>156</v>
      </c>
      <c r="D85" s="16" t="s">
        <v>157</v>
      </c>
      <c r="E85" s="3" t="s">
        <v>10</v>
      </c>
      <c r="G85" s="17" t="s">
        <v>36</v>
      </c>
      <c r="I85" s="21"/>
      <c r="J85" s="18"/>
      <c r="K85" s="16"/>
      <c r="M85" s="21"/>
      <c r="N85" s="18"/>
      <c r="O85" s="16"/>
      <c r="Q85" s="21"/>
      <c r="R85" s="18"/>
      <c r="S85" s="16"/>
      <c r="AMJ85"/>
    </row>
    <row r="86" spans="1:1024" s="2" customFormat="1" x14ac:dyDescent="0.2">
      <c r="A86" s="21" t="s">
        <v>1</v>
      </c>
      <c r="B86" s="19" t="s">
        <v>143</v>
      </c>
      <c r="C86" s="16" t="s">
        <v>158</v>
      </c>
      <c r="D86" s="16" t="s">
        <v>159</v>
      </c>
      <c r="E86" s="3" t="s">
        <v>6</v>
      </c>
      <c r="G86" s="17" t="s">
        <v>36</v>
      </c>
      <c r="I86" s="21"/>
      <c r="J86" s="18"/>
      <c r="K86" s="16"/>
      <c r="M86" s="21"/>
      <c r="N86" s="18"/>
      <c r="O86" s="16"/>
      <c r="Q86" s="21"/>
      <c r="R86" s="18"/>
      <c r="S86" s="16"/>
      <c r="AMJ86"/>
    </row>
    <row r="87" spans="1:1024" s="2" customFormat="1" x14ac:dyDescent="0.2">
      <c r="A87" s="20" t="s">
        <v>37</v>
      </c>
      <c r="B87" s="19"/>
      <c r="C87" s="16" t="s">
        <v>160</v>
      </c>
      <c r="D87" s="16" t="s">
        <v>161</v>
      </c>
      <c r="E87" s="3" t="s">
        <v>10</v>
      </c>
      <c r="G87" s="17" t="s">
        <v>36</v>
      </c>
      <c r="I87" s="21"/>
      <c r="J87" s="18"/>
      <c r="K87" s="16"/>
      <c r="M87" s="21"/>
      <c r="N87" s="18"/>
      <c r="O87" s="16"/>
      <c r="Q87" s="21"/>
      <c r="R87" s="18"/>
      <c r="S87" s="16"/>
      <c r="AMJ87"/>
    </row>
    <row r="88" spans="1:1024" s="2" customFormat="1" x14ac:dyDescent="0.2">
      <c r="A88" s="4"/>
      <c r="B88" s="4"/>
      <c r="C88" s="7"/>
      <c r="D88" s="4"/>
      <c r="E88" s="4"/>
      <c r="F88" s="4"/>
      <c r="G88" s="4"/>
      <c r="I88" s="21"/>
      <c r="J88" s="18"/>
      <c r="K88" s="16"/>
      <c r="M88" s="21"/>
      <c r="N88" s="18"/>
      <c r="O88" s="16"/>
      <c r="Q88" s="21"/>
      <c r="R88" s="18"/>
      <c r="S88" s="16"/>
      <c r="AMJ88"/>
    </row>
    <row r="89" spans="1:1024" s="2" customFormat="1" x14ac:dyDescent="0.2">
      <c r="A89" s="4"/>
      <c r="B89" s="4"/>
      <c r="C89" s="7"/>
      <c r="D89" s="4"/>
      <c r="E89" s="4"/>
      <c r="F89" s="4"/>
      <c r="G89" s="4"/>
      <c r="I89" s="21"/>
      <c r="J89" s="18"/>
      <c r="K89" s="16"/>
      <c r="M89" s="21"/>
      <c r="N89" s="18"/>
      <c r="O89" s="16"/>
      <c r="Q89" s="21"/>
      <c r="R89" s="18"/>
      <c r="S89" s="16"/>
      <c r="AMJ89"/>
    </row>
    <row r="90" spans="1:1024" s="2" customFormat="1" x14ac:dyDescent="0.2">
      <c r="A90" s="4"/>
      <c r="B90" s="4"/>
      <c r="C90" s="7"/>
      <c r="D90" s="4"/>
      <c r="E90" s="4"/>
      <c r="F90" s="4"/>
      <c r="G90" s="4"/>
      <c r="I90" s="21"/>
      <c r="J90" s="18"/>
      <c r="K90" s="16"/>
      <c r="M90" s="21"/>
      <c r="N90" s="18"/>
      <c r="O90" s="16"/>
      <c r="Q90" s="21"/>
      <c r="R90" s="18"/>
      <c r="S90" s="16"/>
      <c r="AMJ90"/>
    </row>
    <row r="91" spans="1:1024" s="2" customFormat="1" x14ac:dyDescent="0.2">
      <c r="A91" s="4"/>
      <c r="B91" s="4"/>
      <c r="C91" s="7"/>
      <c r="D91" s="4"/>
      <c r="E91" s="4"/>
      <c r="F91" s="4"/>
      <c r="G91" s="4"/>
      <c r="I91" s="21"/>
      <c r="J91" s="18"/>
      <c r="K91" s="16"/>
      <c r="M91" s="21"/>
      <c r="N91" s="18"/>
      <c r="O91" s="16"/>
      <c r="Q91" s="21"/>
      <c r="R91" s="18"/>
      <c r="S91" s="16"/>
      <c r="AMJ91"/>
    </row>
    <row r="92" spans="1:1024" s="2" customFormat="1" x14ac:dyDescent="0.2">
      <c r="A92" s="4"/>
      <c r="B92" s="4"/>
      <c r="C92" s="7"/>
      <c r="D92" s="4"/>
      <c r="E92" s="4"/>
      <c r="F92" s="4"/>
      <c r="G92" s="4"/>
      <c r="I92" s="21"/>
      <c r="J92" s="18"/>
      <c r="K92" s="16"/>
      <c r="M92" s="21"/>
      <c r="N92" s="18"/>
      <c r="O92" s="16"/>
      <c r="Q92" s="21"/>
      <c r="R92" s="18"/>
      <c r="S92" s="16"/>
      <c r="AMJ92"/>
    </row>
    <row r="93" spans="1:1024" s="2" customFormat="1" x14ac:dyDescent="0.2">
      <c r="A93" s="4"/>
      <c r="B93" s="4"/>
      <c r="C93" s="7"/>
      <c r="D93" s="4"/>
      <c r="E93" s="4"/>
      <c r="F93" s="4"/>
      <c r="G93" s="4"/>
      <c r="I93" s="21"/>
      <c r="J93" s="18"/>
      <c r="K93" s="16"/>
      <c r="M93" s="21"/>
      <c r="N93" s="18"/>
      <c r="O93" s="16"/>
      <c r="Q93" s="21"/>
      <c r="R93" s="18"/>
      <c r="S93" s="16"/>
      <c r="AMJ93"/>
    </row>
    <row r="94" spans="1:1024" s="2" customFormat="1" x14ac:dyDescent="0.2">
      <c r="A94" s="4"/>
      <c r="B94" s="4"/>
      <c r="C94" s="7"/>
      <c r="D94" s="4"/>
      <c r="E94" s="4"/>
      <c r="F94" s="4"/>
      <c r="G94" s="4"/>
      <c r="I94" s="21"/>
      <c r="J94" s="18"/>
      <c r="K94" s="16"/>
      <c r="M94" s="21"/>
      <c r="N94" s="18"/>
      <c r="O94" s="16"/>
      <c r="Q94" s="21"/>
      <c r="R94" s="18"/>
      <c r="S94" s="16"/>
      <c r="AMJ94"/>
    </row>
    <row r="95" spans="1:1024" s="2" customFormat="1" x14ac:dyDescent="0.2">
      <c r="A95" s="4"/>
      <c r="B95" s="4"/>
      <c r="C95" s="7"/>
      <c r="D95" s="4"/>
      <c r="E95" s="4"/>
      <c r="F95" s="4"/>
      <c r="G95" s="4"/>
      <c r="I95" s="21"/>
      <c r="J95" s="18"/>
      <c r="K95" s="16"/>
      <c r="M95" s="21"/>
      <c r="N95" s="18"/>
      <c r="O95" s="16"/>
      <c r="Q95" s="21"/>
      <c r="R95" s="18"/>
      <c r="S95" s="16"/>
      <c r="AMJ95"/>
    </row>
    <row r="96" spans="1:1024" s="2" customFormat="1" x14ac:dyDescent="0.2">
      <c r="A96" s="21"/>
      <c r="B96" s="18"/>
      <c r="C96" s="16"/>
      <c r="E96" s="21"/>
      <c r="F96" s="18"/>
      <c r="G96" s="16"/>
      <c r="I96" s="21"/>
      <c r="J96" s="18"/>
      <c r="K96" s="16"/>
      <c r="M96" s="21"/>
      <c r="N96" s="18"/>
      <c r="O96" s="16"/>
      <c r="Q96" s="21"/>
      <c r="R96" s="18"/>
      <c r="S96" s="16"/>
      <c r="AMJ96"/>
    </row>
    <row r="97" spans="1:1024" s="2" customFormat="1" x14ac:dyDescent="0.2">
      <c r="A97" s="21"/>
      <c r="B97" s="18"/>
      <c r="C97" s="16"/>
      <c r="E97" s="21"/>
      <c r="F97" s="18"/>
      <c r="G97" s="16"/>
      <c r="I97" s="21"/>
      <c r="J97" s="18"/>
      <c r="K97" s="16"/>
      <c r="M97" s="21"/>
      <c r="N97" s="18"/>
      <c r="O97" s="16"/>
      <c r="Q97" s="21"/>
      <c r="R97" s="18"/>
      <c r="S97" s="16"/>
      <c r="AMJ97"/>
    </row>
    <row r="98" spans="1:1024" s="2" customFormat="1" x14ac:dyDescent="0.2">
      <c r="A98" s="21"/>
      <c r="B98" s="18"/>
      <c r="C98" s="16"/>
      <c r="E98" s="21"/>
      <c r="F98" s="18"/>
      <c r="G98" s="16"/>
      <c r="I98" s="21"/>
      <c r="J98" s="18"/>
      <c r="K98" s="16"/>
      <c r="M98" s="21"/>
      <c r="N98" s="18"/>
      <c r="O98" s="16"/>
      <c r="Q98" s="21"/>
      <c r="R98" s="18"/>
      <c r="S98" s="16"/>
      <c r="AMJ98"/>
    </row>
    <row r="99" spans="1:1024" s="2" customFormat="1" x14ac:dyDescent="0.2">
      <c r="A99" s="21"/>
      <c r="B99" s="18"/>
      <c r="C99" s="16"/>
      <c r="E99" s="21"/>
      <c r="F99" s="18"/>
      <c r="G99" s="16"/>
      <c r="I99" s="21"/>
      <c r="J99" s="18"/>
      <c r="K99" s="16"/>
      <c r="M99" s="21"/>
      <c r="N99" s="18"/>
      <c r="O99" s="16"/>
      <c r="Q99" s="21"/>
      <c r="R99" s="18"/>
      <c r="S99" s="16"/>
      <c r="AMJ99"/>
    </row>
    <row r="100" spans="1:1024" s="2" customFormat="1" x14ac:dyDescent="0.2">
      <c r="A100" s="21"/>
      <c r="B100" s="18"/>
      <c r="C100" s="16"/>
      <c r="E100" s="21"/>
      <c r="F100" s="18"/>
      <c r="G100" s="16"/>
      <c r="I100" s="21"/>
      <c r="J100" s="18"/>
      <c r="K100" s="16"/>
      <c r="M100" s="21"/>
      <c r="N100" s="18"/>
      <c r="O100" s="16"/>
      <c r="Q100" s="21"/>
      <c r="R100" s="18"/>
      <c r="S100" s="16"/>
      <c r="AMJ100"/>
    </row>
    <row r="101" spans="1:1024" s="2" customFormat="1" x14ac:dyDescent="0.2">
      <c r="A101" s="21"/>
      <c r="B101" s="18"/>
      <c r="C101" s="16"/>
      <c r="E101" s="21"/>
      <c r="F101" s="18"/>
      <c r="G101" s="16"/>
      <c r="I101" s="21"/>
      <c r="J101" s="18"/>
      <c r="K101" s="16"/>
      <c r="M101" s="21"/>
      <c r="N101" s="18"/>
      <c r="O101" s="16"/>
      <c r="Q101" s="21"/>
      <c r="R101" s="18"/>
      <c r="S101" s="16"/>
      <c r="AMJ101"/>
    </row>
    <row r="102" spans="1:1024" s="2" customFormat="1" x14ac:dyDescent="0.2">
      <c r="A102" s="21"/>
      <c r="B102" s="18"/>
      <c r="C102" s="16"/>
      <c r="E102" s="21"/>
      <c r="F102" s="18"/>
      <c r="G102" s="16"/>
      <c r="I102" s="21"/>
      <c r="J102" s="18"/>
      <c r="K102" s="16"/>
      <c r="M102" s="21"/>
      <c r="N102" s="18"/>
      <c r="O102" s="16"/>
      <c r="Q102" s="21"/>
      <c r="R102" s="18"/>
      <c r="S102" s="16"/>
      <c r="AMJ102"/>
    </row>
    <row r="103" spans="1:1024" s="2" customFormat="1" x14ac:dyDescent="0.2">
      <c r="A103" s="21"/>
      <c r="B103" s="18"/>
      <c r="C103" s="16"/>
      <c r="E103" s="21"/>
      <c r="F103" s="18"/>
      <c r="G103" s="16"/>
      <c r="I103" s="21"/>
      <c r="J103" s="18"/>
      <c r="K103" s="16"/>
      <c r="M103" s="21"/>
      <c r="N103" s="18"/>
      <c r="O103" s="16"/>
      <c r="Q103" s="21"/>
      <c r="R103" s="18"/>
      <c r="S103" s="16"/>
      <c r="AMJ103"/>
    </row>
    <row r="104" spans="1:1024" s="2" customFormat="1" x14ac:dyDescent="0.2">
      <c r="A104" s="21"/>
      <c r="B104" s="18"/>
      <c r="C104" s="16"/>
      <c r="E104" s="21"/>
      <c r="F104" s="18"/>
      <c r="G104" s="16"/>
      <c r="I104" s="21"/>
      <c r="J104" s="18"/>
      <c r="K104" s="16"/>
      <c r="M104" s="21"/>
      <c r="N104" s="18"/>
      <c r="O104" s="16"/>
      <c r="Q104" s="21"/>
      <c r="R104" s="18"/>
      <c r="S104" s="16"/>
      <c r="AMJ104"/>
    </row>
    <row r="105" spans="1:1024" s="2" customFormat="1" x14ac:dyDescent="0.2">
      <c r="A105" s="21"/>
      <c r="B105" s="18"/>
      <c r="C105" s="16"/>
      <c r="E105" s="21"/>
      <c r="F105" s="18"/>
      <c r="G105" s="16"/>
      <c r="I105" s="21"/>
      <c r="J105" s="18"/>
      <c r="K105" s="16"/>
      <c r="M105" s="21"/>
      <c r="N105" s="18"/>
      <c r="O105" s="16"/>
      <c r="Q105" s="21"/>
      <c r="R105" s="18"/>
      <c r="S105" s="16"/>
      <c r="AMJ105"/>
    </row>
    <row r="106" spans="1:1024" x14ac:dyDescent="0.2">
      <c r="A106" s="15"/>
      <c r="B106" s="15"/>
      <c r="C106" s="15"/>
      <c r="D106" s="15"/>
      <c r="E106" s="15"/>
      <c r="F106" s="15"/>
      <c r="G106" s="15"/>
      <c r="H106" s="15"/>
      <c r="I106" s="15"/>
      <c r="J106" s="15"/>
      <c r="K106" s="15"/>
      <c r="L106" s="15"/>
      <c r="M106" s="15"/>
      <c r="N106" s="15"/>
      <c r="O106" s="15"/>
      <c r="P106" s="15"/>
      <c r="Q106" s="15"/>
      <c r="R106" s="15"/>
      <c r="S106" s="15"/>
      <c r="T106" s="15"/>
    </row>
    <row r="107" spans="1:1024" s="2" customFormat="1" x14ac:dyDescent="0.2">
      <c r="B107" s="18"/>
      <c r="C107" s="16"/>
      <c r="D107" s="4"/>
      <c r="F107" s="18"/>
      <c r="G107" s="16"/>
      <c r="H107" s="4"/>
      <c r="J107" s="18"/>
      <c r="K107" s="16"/>
      <c r="L107" s="4"/>
      <c r="N107" s="18"/>
      <c r="O107" s="16"/>
      <c r="P107" s="4"/>
      <c r="R107" s="18"/>
      <c r="S107" s="16"/>
      <c r="T107" s="4"/>
      <c r="AMJ107"/>
    </row>
    <row r="108" spans="1:1024" s="2" customFormat="1" x14ac:dyDescent="0.2">
      <c r="B108" s="18"/>
      <c r="C108" s="16"/>
      <c r="F108" s="18"/>
      <c r="G108" s="16"/>
      <c r="J108" s="18"/>
      <c r="K108" s="16"/>
      <c r="N108" s="18"/>
      <c r="O108" s="16"/>
      <c r="R108" s="18"/>
      <c r="S108" s="16"/>
      <c r="AMJ108"/>
    </row>
    <row r="109" spans="1:1024" s="2" customFormat="1" x14ac:dyDescent="0.2">
      <c r="B109" s="18"/>
      <c r="C109" s="16"/>
      <c r="F109" s="18"/>
      <c r="G109" s="16"/>
      <c r="J109" s="18"/>
      <c r="K109" s="16"/>
      <c r="N109" s="18"/>
      <c r="O109" s="16"/>
      <c r="R109" s="18"/>
      <c r="S109" s="16"/>
      <c r="AMJ109"/>
    </row>
    <row r="110" spans="1:1024" s="2" customFormat="1" x14ac:dyDescent="0.2">
      <c r="B110" s="18"/>
      <c r="C110" s="16"/>
      <c r="F110" s="18"/>
      <c r="G110" s="16"/>
      <c r="J110" s="18"/>
      <c r="K110" s="16"/>
      <c r="N110" s="18"/>
      <c r="O110" s="16"/>
      <c r="R110" s="18"/>
      <c r="S110" s="16"/>
      <c r="AMJ110"/>
    </row>
    <row r="111" spans="1:1024" s="2" customFormat="1" ht="12" customHeight="1" x14ac:dyDescent="0.2">
      <c r="B111" s="18"/>
      <c r="C111" s="16"/>
      <c r="F111" s="18"/>
      <c r="G111" s="16"/>
      <c r="J111" s="18"/>
      <c r="K111" s="16"/>
      <c r="N111" s="18"/>
      <c r="O111" s="16"/>
      <c r="R111" s="18"/>
      <c r="S111" s="16"/>
      <c r="AMJ111"/>
    </row>
    <row r="112" spans="1:1024" s="2" customFormat="1" ht="12" customHeight="1" x14ac:dyDescent="0.2">
      <c r="A112" s="21"/>
      <c r="B112" s="18"/>
      <c r="C112" s="16"/>
      <c r="E112" s="21"/>
      <c r="F112" s="18"/>
      <c r="G112" s="16"/>
      <c r="I112" s="21"/>
      <c r="J112" s="18"/>
      <c r="K112" s="16"/>
      <c r="M112" s="21"/>
      <c r="N112" s="18"/>
      <c r="O112" s="16"/>
      <c r="Q112" s="21"/>
      <c r="R112" s="18"/>
      <c r="S112" s="16"/>
      <c r="AMJ112"/>
    </row>
    <row r="113" spans="1:1024" s="2" customFormat="1" ht="12" customHeight="1" x14ac:dyDescent="0.2">
      <c r="A113" s="21"/>
      <c r="B113" s="18"/>
      <c r="C113" s="16"/>
      <c r="E113" s="21"/>
      <c r="F113" s="18"/>
      <c r="G113" s="16"/>
      <c r="I113" s="21"/>
      <c r="J113" s="18"/>
      <c r="K113" s="16"/>
      <c r="M113" s="21"/>
      <c r="N113" s="18"/>
      <c r="O113" s="16"/>
      <c r="Q113" s="21"/>
      <c r="R113" s="18"/>
      <c r="S113" s="16"/>
      <c r="AMJ113"/>
    </row>
    <row r="114" spans="1:1024" s="2" customFormat="1" ht="12" customHeight="1" x14ac:dyDescent="0.2">
      <c r="A114" s="21"/>
      <c r="B114" s="18"/>
      <c r="C114" s="16"/>
      <c r="E114" s="21"/>
      <c r="F114" s="18"/>
      <c r="G114" s="16"/>
      <c r="I114" s="21"/>
      <c r="J114" s="18"/>
      <c r="K114" s="16"/>
      <c r="M114" s="21"/>
      <c r="N114" s="18"/>
      <c r="O114" s="16"/>
      <c r="Q114" s="21"/>
      <c r="R114" s="18"/>
      <c r="S114" s="16"/>
      <c r="AMJ114"/>
    </row>
    <row r="115" spans="1:1024" s="2" customFormat="1" ht="12" customHeight="1" x14ac:dyDescent="0.2">
      <c r="A115" s="21"/>
      <c r="B115" s="18"/>
      <c r="C115" s="16"/>
      <c r="E115" s="21"/>
      <c r="F115" s="18"/>
      <c r="G115" s="16"/>
      <c r="I115" s="21"/>
      <c r="J115" s="18"/>
      <c r="K115" s="16"/>
      <c r="M115" s="21"/>
      <c r="N115" s="18"/>
      <c r="O115" s="16"/>
      <c r="Q115" s="21"/>
      <c r="R115" s="18"/>
      <c r="S115" s="16"/>
      <c r="AMJ115"/>
    </row>
    <row r="116" spans="1:1024" s="2" customFormat="1" ht="12" customHeight="1" x14ac:dyDescent="0.2">
      <c r="A116" s="21"/>
      <c r="B116" s="18"/>
      <c r="C116" s="16"/>
      <c r="E116" s="21"/>
      <c r="F116" s="18"/>
      <c r="G116" s="16"/>
      <c r="I116" s="21"/>
      <c r="J116" s="18"/>
      <c r="K116" s="16"/>
      <c r="M116" s="21"/>
      <c r="N116" s="18"/>
      <c r="O116" s="16"/>
      <c r="Q116" s="21"/>
      <c r="R116" s="18"/>
      <c r="S116" s="16"/>
      <c r="AMJ116"/>
    </row>
    <row r="117" spans="1:1024" s="2" customFormat="1" ht="12" customHeight="1" x14ac:dyDescent="0.2">
      <c r="A117" s="21"/>
      <c r="B117" s="18"/>
      <c r="C117" s="16"/>
      <c r="E117" s="21"/>
      <c r="F117" s="18"/>
      <c r="G117" s="16"/>
      <c r="I117" s="21"/>
      <c r="J117" s="18"/>
      <c r="K117" s="16"/>
      <c r="M117" s="21"/>
      <c r="N117" s="18"/>
      <c r="O117" s="16"/>
      <c r="Q117" s="21"/>
      <c r="R117" s="18"/>
      <c r="S117" s="16"/>
      <c r="AMJ117"/>
    </row>
    <row r="118" spans="1:1024" s="2" customFormat="1" ht="12" customHeight="1" x14ac:dyDescent="0.2">
      <c r="A118" s="21"/>
      <c r="B118" s="18"/>
      <c r="C118" s="16"/>
      <c r="E118" s="21"/>
      <c r="F118" s="18"/>
      <c r="G118" s="16"/>
      <c r="I118" s="21"/>
      <c r="J118" s="18"/>
      <c r="K118" s="16"/>
      <c r="M118" s="21"/>
      <c r="N118" s="18"/>
      <c r="O118" s="16"/>
      <c r="Q118" s="21"/>
      <c r="R118" s="18"/>
      <c r="S118" s="16"/>
      <c r="AMJ118"/>
    </row>
    <row r="119" spans="1:1024" s="2" customFormat="1" ht="12" customHeight="1" x14ac:dyDescent="0.2">
      <c r="A119" s="21"/>
      <c r="B119" s="18"/>
      <c r="C119" s="16"/>
      <c r="E119" s="21"/>
      <c r="F119" s="18"/>
      <c r="G119" s="16"/>
      <c r="I119" s="21"/>
      <c r="J119" s="18"/>
      <c r="K119" s="16"/>
      <c r="M119" s="21"/>
      <c r="N119" s="18"/>
      <c r="O119" s="16"/>
      <c r="Q119" s="21"/>
      <c r="R119" s="18"/>
      <c r="S119" s="16"/>
      <c r="AMJ119"/>
    </row>
    <row r="120" spans="1:1024" s="2" customFormat="1" ht="12" customHeight="1" x14ac:dyDescent="0.2">
      <c r="A120" s="21"/>
      <c r="B120" s="18"/>
      <c r="C120" s="16"/>
      <c r="E120" s="21"/>
      <c r="F120" s="18"/>
      <c r="G120" s="16"/>
      <c r="I120" s="21"/>
      <c r="J120" s="18"/>
      <c r="K120" s="16"/>
      <c r="M120" s="21"/>
      <c r="N120" s="18"/>
      <c r="O120" s="16"/>
      <c r="Q120" s="21"/>
      <c r="R120" s="18"/>
      <c r="S120" s="16"/>
      <c r="AMJ120"/>
    </row>
    <row r="121" spans="1:1024" s="2" customFormat="1" ht="12" customHeight="1" x14ac:dyDescent="0.2">
      <c r="A121" s="21"/>
      <c r="B121" s="18"/>
      <c r="C121" s="16"/>
      <c r="E121" s="21"/>
      <c r="F121" s="18"/>
      <c r="G121" s="16"/>
      <c r="I121" s="21"/>
      <c r="J121" s="18"/>
      <c r="K121" s="16"/>
      <c r="M121" s="21"/>
      <c r="N121" s="18"/>
      <c r="O121" s="16"/>
      <c r="Q121" s="21"/>
      <c r="R121" s="18"/>
      <c r="S121" s="16"/>
      <c r="AMJ121"/>
    </row>
    <row r="122" spans="1:1024" s="2" customFormat="1" ht="12" customHeight="1" x14ac:dyDescent="0.2">
      <c r="A122" s="21"/>
      <c r="B122" s="18"/>
      <c r="C122" s="16"/>
      <c r="E122" s="21"/>
      <c r="F122" s="18"/>
      <c r="G122" s="16"/>
      <c r="I122" s="21"/>
      <c r="J122" s="18"/>
      <c r="K122" s="16"/>
      <c r="M122" s="21"/>
      <c r="N122" s="18"/>
      <c r="O122" s="16"/>
      <c r="Q122" s="21"/>
      <c r="R122" s="18"/>
      <c r="S122" s="16"/>
      <c r="AMJ122"/>
    </row>
    <row r="123" spans="1:1024" s="2" customFormat="1" ht="12" customHeight="1" x14ac:dyDescent="0.2">
      <c r="A123" s="21"/>
      <c r="B123" s="18"/>
      <c r="C123" s="16"/>
      <c r="E123" s="21"/>
      <c r="F123" s="18"/>
      <c r="G123" s="16"/>
      <c r="I123" s="21"/>
      <c r="J123" s="18"/>
      <c r="K123" s="16"/>
      <c r="M123" s="21"/>
      <c r="N123" s="18"/>
      <c r="O123" s="16"/>
      <c r="Q123" s="21"/>
      <c r="R123" s="18"/>
      <c r="S123" s="16"/>
      <c r="AMJ123"/>
    </row>
    <row r="124" spans="1:1024" s="2" customFormat="1" ht="12" customHeight="1" x14ac:dyDescent="0.2">
      <c r="A124" s="21"/>
      <c r="B124" s="18"/>
      <c r="C124" s="16"/>
      <c r="E124" s="21"/>
      <c r="F124" s="18"/>
      <c r="G124" s="16"/>
      <c r="I124" s="21"/>
      <c r="J124" s="18"/>
      <c r="K124" s="16"/>
      <c r="M124" s="21"/>
      <c r="N124" s="18"/>
      <c r="O124" s="16"/>
      <c r="Q124" s="21"/>
      <c r="R124" s="18"/>
      <c r="S124" s="16"/>
      <c r="AMJ124"/>
    </row>
    <row r="125" spans="1:1024" s="2" customFormat="1" ht="12" customHeight="1" x14ac:dyDescent="0.2">
      <c r="A125" s="21"/>
      <c r="B125" s="18"/>
      <c r="C125" s="16"/>
      <c r="E125" s="21"/>
      <c r="F125" s="18"/>
      <c r="G125" s="16"/>
      <c r="I125" s="21"/>
      <c r="J125" s="18"/>
      <c r="K125" s="16"/>
      <c r="M125" s="21"/>
      <c r="N125" s="18"/>
      <c r="O125" s="16"/>
      <c r="Q125" s="21"/>
      <c r="R125" s="18"/>
      <c r="S125" s="16"/>
      <c r="AMJ125"/>
    </row>
    <row r="126" spans="1:1024" s="2" customFormat="1" ht="12" customHeight="1" x14ac:dyDescent="0.2">
      <c r="A126" s="21"/>
      <c r="B126" s="18"/>
      <c r="C126" s="16"/>
      <c r="E126" s="21"/>
      <c r="F126" s="18"/>
      <c r="G126" s="16"/>
      <c r="I126" s="21"/>
      <c r="J126" s="18"/>
      <c r="K126" s="16"/>
      <c r="M126" s="21"/>
      <c r="N126" s="18"/>
      <c r="O126" s="16"/>
      <c r="Q126" s="21"/>
      <c r="R126" s="18"/>
      <c r="S126" s="16"/>
      <c r="AMJ126"/>
    </row>
    <row r="127" spans="1:1024" s="2" customFormat="1" ht="12" customHeight="1" x14ac:dyDescent="0.2">
      <c r="A127" s="21"/>
      <c r="B127" s="18"/>
      <c r="C127" s="16"/>
      <c r="E127" s="21"/>
      <c r="F127" s="18"/>
      <c r="G127" s="16"/>
      <c r="I127" s="21"/>
      <c r="J127" s="18"/>
      <c r="K127" s="16"/>
      <c r="M127" s="21"/>
      <c r="N127" s="18"/>
      <c r="O127" s="16"/>
      <c r="Q127" s="21"/>
      <c r="R127" s="18"/>
      <c r="S127" s="16"/>
      <c r="AMJ127"/>
    </row>
    <row r="128" spans="1:1024" s="2" customFormat="1" ht="12" customHeight="1" x14ac:dyDescent="0.2">
      <c r="A128" s="21"/>
      <c r="B128" s="18"/>
      <c r="C128" s="16"/>
      <c r="E128" s="21"/>
      <c r="F128" s="18"/>
      <c r="G128" s="16"/>
      <c r="I128" s="21"/>
      <c r="J128" s="18"/>
      <c r="K128" s="16"/>
      <c r="M128" s="21"/>
      <c r="N128" s="18"/>
      <c r="O128" s="16"/>
      <c r="Q128" s="21"/>
      <c r="R128" s="18"/>
      <c r="S128" s="16"/>
      <c r="AMJ128"/>
    </row>
    <row r="129" spans="1:1024" s="2" customFormat="1" ht="12" customHeight="1" x14ac:dyDescent="0.2">
      <c r="A129" s="21"/>
      <c r="B129" s="18"/>
      <c r="C129" s="16"/>
      <c r="E129" s="21"/>
      <c r="F129" s="18"/>
      <c r="G129" s="16"/>
      <c r="I129" s="21"/>
      <c r="J129" s="18"/>
      <c r="K129" s="16"/>
      <c r="M129" s="21"/>
      <c r="N129" s="18"/>
      <c r="O129" s="16"/>
      <c r="Q129" s="21"/>
      <c r="R129" s="18"/>
      <c r="S129" s="16"/>
      <c r="AMJ129"/>
    </row>
    <row r="130" spans="1:1024" s="2" customFormat="1" ht="12" customHeight="1" x14ac:dyDescent="0.2">
      <c r="A130" s="21"/>
      <c r="B130" s="18"/>
      <c r="C130" s="16"/>
      <c r="E130" s="21"/>
      <c r="F130" s="18"/>
      <c r="G130" s="16"/>
      <c r="I130" s="21"/>
      <c r="J130" s="18"/>
      <c r="K130" s="16"/>
      <c r="M130" s="21"/>
      <c r="N130" s="18"/>
      <c r="O130" s="16"/>
      <c r="Q130" s="21"/>
      <c r="R130" s="18"/>
      <c r="S130" s="16"/>
      <c r="AMJ130"/>
    </row>
    <row r="131" spans="1:1024" s="2" customFormat="1" ht="12" customHeight="1" x14ac:dyDescent="0.2">
      <c r="A131" s="21"/>
      <c r="B131" s="18"/>
      <c r="C131" s="16"/>
      <c r="E131" s="21"/>
      <c r="F131" s="18"/>
      <c r="G131" s="16"/>
      <c r="I131" s="21"/>
      <c r="J131" s="18"/>
      <c r="K131" s="16"/>
      <c r="M131" s="21"/>
      <c r="N131" s="18"/>
      <c r="O131" s="16"/>
      <c r="Q131" s="21"/>
      <c r="R131" s="18"/>
      <c r="S131" s="16"/>
      <c r="AMJ131"/>
    </row>
    <row r="132" spans="1:1024" s="2" customFormat="1" ht="12" customHeight="1" x14ac:dyDescent="0.2">
      <c r="A132" s="21"/>
      <c r="B132" s="18"/>
      <c r="C132" s="16"/>
      <c r="E132" s="21"/>
      <c r="F132" s="18"/>
      <c r="G132" s="16"/>
      <c r="I132" s="21"/>
      <c r="J132" s="18"/>
      <c r="K132" s="16"/>
      <c r="M132" s="21"/>
      <c r="N132" s="18"/>
      <c r="O132" s="16"/>
      <c r="Q132" s="21"/>
      <c r="R132" s="18"/>
      <c r="S132" s="16"/>
      <c r="AMJ132"/>
    </row>
    <row r="133" spans="1:1024" s="2" customFormat="1" ht="12" customHeight="1" x14ac:dyDescent="0.2">
      <c r="A133" s="21"/>
      <c r="B133" s="18"/>
      <c r="C133" s="16"/>
      <c r="E133" s="21"/>
      <c r="F133" s="18"/>
      <c r="G133" s="16"/>
      <c r="I133" s="21"/>
      <c r="J133" s="18"/>
      <c r="K133" s="16"/>
      <c r="M133" s="21"/>
      <c r="N133" s="18"/>
      <c r="O133" s="16"/>
      <c r="Q133" s="21"/>
      <c r="R133" s="18"/>
      <c r="S133" s="16"/>
      <c r="AMJ133"/>
    </row>
    <row r="134" spans="1:1024" s="2" customFormat="1" ht="12" customHeight="1" x14ac:dyDescent="0.2">
      <c r="A134" s="21"/>
      <c r="B134" s="18"/>
      <c r="C134" s="16"/>
      <c r="E134" s="21"/>
      <c r="F134" s="18"/>
      <c r="G134" s="16"/>
      <c r="I134" s="21"/>
      <c r="J134" s="18"/>
      <c r="K134" s="16"/>
      <c r="M134" s="21"/>
      <c r="N134" s="18"/>
      <c r="O134" s="16"/>
      <c r="Q134" s="21"/>
      <c r="R134" s="18"/>
      <c r="S134" s="16"/>
      <c r="AMJ134"/>
    </row>
    <row r="135" spans="1:1024" s="2" customFormat="1" ht="12" customHeight="1" x14ac:dyDescent="0.2">
      <c r="A135" s="21"/>
      <c r="B135" s="18"/>
      <c r="C135" s="16"/>
      <c r="E135" s="21"/>
      <c r="F135" s="18"/>
      <c r="G135" s="16"/>
      <c r="I135" s="21"/>
      <c r="J135" s="18"/>
      <c r="K135" s="16"/>
      <c r="M135" s="21"/>
      <c r="N135" s="18"/>
      <c r="O135" s="16"/>
      <c r="Q135" s="21"/>
      <c r="R135" s="18"/>
      <c r="S135" s="16"/>
      <c r="AMJ135"/>
    </row>
    <row r="136" spans="1:1024" s="2" customFormat="1" ht="12" customHeight="1" x14ac:dyDescent="0.2">
      <c r="A136" s="21"/>
      <c r="B136" s="18"/>
      <c r="C136" s="16"/>
      <c r="E136" s="21"/>
      <c r="F136" s="18"/>
      <c r="G136" s="16"/>
      <c r="I136" s="21"/>
      <c r="J136" s="18"/>
      <c r="K136" s="16"/>
      <c r="M136" s="21"/>
      <c r="N136" s="18"/>
      <c r="O136" s="16"/>
      <c r="Q136" s="21"/>
      <c r="R136" s="18"/>
      <c r="S136" s="16"/>
      <c r="AMJ136"/>
    </row>
    <row r="137" spans="1:1024" s="2" customFormat="1" ht="12" customHeight="1" x14ac:dyDescent="0.2">
      <c r="A137" s="21"/>
      <c r="B137" s="18"/>
      <c r="C137" s="16"/>
      <c r="E137" s="21"/>
      <c r="F137" s="18"/>
      <c r="G137" s="16"/>
      <c r="I137" s="21"/>
      <c r="J137" s="18"/>
      <c r="K137" s="16"/>
      <c r="M137" s="21"/>
      <c r="N137" s="18"/>
      <c r="O137" s="16"/>
      <c r="Q137" s="21"/>
      <c r="R137" s="18"/>
      <c r="S137" s="16"/>
      <c r="AMJ137"/>
    </row>
    <row r="138" spans="1:1024" s="2" customFormat="1" ht="12" customHeight="1" x14ac:dyDescent="0.2">
      <c r="A138" s="21"/>
      <c r="B138" s="18"/>
      <c r="C138" s="16"/>
      <c r="E138" s="21"/>
      <c r="F138" s="18"/>
      <c r="G138" s="16"/>
      <c r="I138" s="21"/>
      <c r="J138" s="18"/>
      <c r="K138" s="16"/>
      <c r="M138" s="21"/>
      <c r="N138" s="18"/>
      <c r="O138" s="16"/>
      <c r="Q138" s="21"/>
      <c r="R138" s="18"/>
      <c r="S138" s="16"/>
      <c r="AMJ138"/>
    </row>
    <row r="139" spans="1:1024" s="2" customFormat="1" ht="12" customHeight="1" x14ac:dyDescent="0.2">
      <c r="A139" s="21"/>
      <c r="B139" s="18"/>
      <c r="C139" s="16"/>
      <c r="E139" s="21"/>
      <c r="F139" s="18"/>
      <c r="G139" s="16"/>
      <c r="I139" s="21"/>
      <c r="J139" s="18"/>
      <c r="K139" s="16"/>
      <c r="M139" s="21"/>
      <c r="N139" s="18"/>
      <c r="O139" s="16"/>
      <c r="Q139" s="21"/>
      <c r="R139" s="18"/>
      <c r="S139" s="16"/>
      <c r="AMJ139"/>
    </row>
    <row r="140" spans="1:1024" x14ac:dyDescent="0.2">
      <c r="A140" s="15"/>
      <c r="B140" s="15"/>
      <c r="C140" s="15"/>
      <c r="D140" s="15"/>
      <c r="E140" s="15"/>
      <c r="F140" s="15"/>
      <c r="G140" s="15"/>
      <c r="H140" s="15"/>
      <c r="I140" s="15"/>
      <c r="J140" s="15"/>
      <c r="K140" s="15"/>
      <c r="L140" s="15"/>
      <c r="M140" s="15"/>
      <c r="N140" s="15"/>
      <c r="O140" s="15"/>
      <c r="P140" s="15"/>
      <c r="Q140" s="15"/>
      <c r="R140" s="15"/>
      <c r="S140" s="15"/>
      <c r="T140" s="15"/>
    </row>
    <row r="141" spans="1:1024" s="2" customFormat="1" ht="12" customHeight="1" x14ac:dyDescent="0.2">
      <c r="B141" s="18"/>
      <c r="C141" s="16"/>
      <c r="D141" s="4"/>
      <c r="F141" s="18"/>
      <c r="G141" s="16"/>
      <c r="H141" s="4"/>
      <c r="J141" s="18"/>
      <c r="K141" s="16"/>
      <c r="L141" s="4"/>
      <c r="N141" s="18"/>
      <c r="O141" s="16"/>
      <c r="P141" s="4"/>
      <c r="R141" s="18"/>
      <c r="S141" s="16"/>
      <c r="T141" s="4"/>
      <c r="AMJ141"/>
    </row>
    <row r="142" spans="1:1024" x14ac:dyDescent="0.2">
      <c r="B142" s="18"/>
      <c r="C142" s="16"/>
      <c r="D142" s="2"/>
      <c r="F142" s="18"/>
      <c r="G142" s="16"/>
      <c r="H142" s="2"/>
      <c r="J142" s="18"/>
      <c r="K142" s="16"/>
      <c r="M142" s="4"/>
      <c r="N142" s="18"/>
      <c r="O142" s="16"/>
      <c r="Q142" s="4"/>
      <c r="R142" s="18"/>
      <c r="S142" s="16"/>
    </row>
  </sheetData>
  <mergeCells count="36">
    <mergeCell ref="A1:B8"/>
    <mergeCell ref="C1:C8"/>
    <mergeCell ref="E1:H1"/>
    <mergeCell ref="E2:H2"/>
    <mergeCell ref="E3:H3"/>
    <mergeCell ref="E4:H4"/>
    <mergeCell ref="E5:H5"/>
    <mergeCell ref="E6:H6"/>
    <mergeCell ref="E7:H7"/>
    <mergeCell ref="E8:H8"/>
    <mergeCell ref="E17:F17"/>
    <mergeCell ref="G17:H17"/>
    <mergeCell ref="E18:F18"/>
    <mergeCell ref="G18:H18"/>
    <mergeCell ref="E13:F13"/>
    <mergeCell ref="G13:H13"/>
    <mergeCell ref="E14:F14"/>
    <mergeCell ref="G14:H14"/>
    <mergeCell ref="E15:F15"/>
    <mergeCell ref="G15:H15"/>
    <mergeCell ref="E19:F19"/>
    <mergeCell ref="G19:H19"/>
    <mergeCell ref="E20:F20"/>
    <mergeCell ref="G20:H20"/>
    <mergeCell ref="A9:B20"/>
    <mergeCell ref="C9:C20"/>
    <mergeCell ref="E9:F9"/>
    <mergeCell ref="G9:H9"/>
    <mergeCell ref="E10:F10"/>
    <mergeCell ref="G10:H10"/>
    <mergeCell ref="E11:F11"/>
    <mergeCell ref="G11:H11"/>
    <mergeCell ref="E12:F12"/>
    <mergeCell ref="G12:H12"/>
    <mergeCell ref="E16:F16"/>
    <mergeCell ref="G16:H16"/>
  </mergeCells>
  <conditionalFormatting sqref="D10:D19">
    <cfRule type="cellIs" dxfId="54" priority="218" operator="equal">
      <formula>"Not implemented"</formula>
    </cfRule>
    <cfRule type="cellIs" dxfId="53" priority="217" operator="equal">
      <formula>"Minor"</formula>
    </cfRule>
    <cfRule type="cellIs" dxfId="52" priority="220" operator="equal">
      <formula>"Not available"</formula>
    </cfRule>
    <cfRule type="cellIs" dxfId="51" priority="225" operator="equal">
      <formula>"Enhancement"</formula>
    </cfRule>
    <cfRule type="cellIs" dxfId="50" priority="226" operator="equal">
      <formula>"Partially tested"</formula>
    </cfRule>
    <cfRule type="cellIs" dxfId="49" priority="224" operator="equal">
      <formula>"OK"</formula>
    </cfRule>
    <cfRule type="cellIs" dxfId="48" priority="223" operator="equal">
      <formula>"Average"</formula>
    </cfRule>
    <cfRule type="cellIs" dxfId="47" priority="222" operator="equal">
      <formula>"Major"</formula>
    </cfRule>
    <cfRule type="cellIs" dxfId="46" priority="221" operator="equal">
      <formula>"Critical"</formula>
    </cfRule>
    <cfRule type="cellIs" dxfId="45" priority="219" operator="equal">
      <formula>"Not tested"</formula>
    </cfRule>
  </conditionalFormatting>
  <conditionalFormatting sqref="D66:D75">
    <cfRule type="cellIs" dxfId="44" priority="7" operator="equal">
      <formula>"not tested"</formula>
    </cfRule>
    <cfRule type="cellIs" dxfId="43" priority="6" operator="equal">
      <formula>"not available"</formula>
    </cfRule>
    <cfRule type="cellIs" dxfId="42" priority="8" operator="equal">
      <formula>"not implemented"</formula>
    </cfRule>
    <cfRule type="cellIs" dxfId="41" priority="9" operator="equal">
      <formula>"failed"</formula>
    </cfRule>
    <cfRule type="cellIs" dxfId="40" priority="10" operator="equal">
      <formula>"passed"</formula>
    </cfRule>
  </conditionalFormatting>
  <conditionalFormatting sqref="D78:D87">
    <cfRule type="cellIs" dxfId="39" priority="2" operator="equal">
      <formula>"not tested"</formula>
    </cfRule>
    <cfRule type="cellIs" dxfId="38" priority="3" operator="equal">
      <formula>"not implemented"</formula>
    </cfRule>
    <cfRule type="cellIs" dxfId="37" priority="4" operator="equal">
      <formula>"failed"</formula>
    </cfRule>
    <cfRule type="cellIs" dxfId="36" priority="5" operator="equal">
      <formula>"passed"</formula>
    </cfRule>
    <cfRule type="cellIs" dxfId="35" priority="1" operator="equal">
      <formula>"not available"</formula>
    </cfRule>
  </conditionalFormatting>
  <conditionalFormatting sqref="D106 H106 L106 P106 T106">
    <cfRule type="cellIs" dxfId="34" priority="95" operator="equal">
      <formula>"passed"</formula>
    </cfRule>
    <cfRule type="cellIs" dxfId="33" priority="91" operator="equal">
      <formula>"not available"</formula>
    </cfRule>
    <cfRule type="cellIs" dxfId="32" priority="92" operator="equal">
      <formula>"not tested"</formula>
    </cfRule>
    <cfRule type="cellIs" dxfId="31" priority="93" operator="equal">
      <formula>"not implemented"</formula>
    </cfRule>
    <cfRule type="cellIs" dxfId="30" priority="94" operator="equal">
      <formula>"failed"</formula>
    </cfRule>
  </conditionalFormatting>
  <conditionalFormatting sqref="D140 H140 L140 P140 T140">
    <cfRule type="cellIs" dxfId="29" priority="69" operator="equal">
      <formula>"failed"</formula>
    </cfRule>
    <cfRule type="cellIs" dxfId="28" priority="70" operator="equal">
      <formula>"passed"</formula>
    </cfRule>
    <cfRule type="cellIs" dxfId="27" priority="67" operator="equal">
      <formula>"not tested"</formula>
    </cfRule>
    <cfRule type="cellIs" dxfId="26" priority="66" operator="equal">
      <formula>"not available"</formula>
    </cfRule>
    <cfRule type="cellIs" dxfId="25" priority="68" operator="equal">
      <formula>"not implemented"</formula>
    </cfRule>
  </conditionalFormatting>
  <conditionalFormatting sqref="D2:O9 E10:O19 D20:O21 H22 L22 P22 T22 H25 L25 P25 T25">
    <cfRule type="cellIs" dxfId="24" priority="159" operator="equal">
      <formula>"not implemented"</formula>
    </cfRule>
    <cfRule type="cellIs" dxfId="23" priority="158" operator="equal">
      <formula>"not tested"</formula>
    </cfRule>
    <cfRule type="cellIs" dxfId="22" priority="157" operator="equal">
      <formula>"not available"</formula>
    </cfRule>
    <cfRule type="cellIs" dxfId="21" priority="160" operator="equal">
      <formula>"failed"</formula>
    </cfRule>
    <cfRule type="cellIs" dxfId="20" priority="161" operator="equal">
      <formula>"passed"</formula>
    </cfRule>
  </conditionalFormatting>
  <conditionalFormatting sqref="E22:E87">
    <cfRule type="cellIs" dxfId="19" priority="22" operator="equal">
      <formula>"Average"</formula>
    </cfRule>
    <cfRule type="cellIs" dxfId="18" priority="16" operator="equal">
      <formula>"Minor"</formula>
    </cfRule>
    <cfRule type="cellIs" dxfId="17" priority="17" operator="equal">
      <formula>"Not implemented"</formula>
    </cfRule>
    <cfRule type="cellIs" dxfId="16" priority="18" operator="equal">
      <formula>"Not tested"</formula>
    </cfRule>
    <cfRule type="cellIs" dxfId="15" priority="25" operator="equal">
      <formula>"Partially tested"</formula>
    </cfRule>
    <cfRule type="cellIs" dxfId="14" priority="24" operator="equal">
      <formula>"Enhancement"</formula>
    </cfRule>
    <cfRule type="cellIs" dxfId="13" priority="23" operator="equal">
      <formula>"OK"</formula>
    </cfRule>
    <cfRule type="cellIs" dxfId="12" priority="21" operator="equal">
      <formula>"Major"</formula>
    </cfRule>
    <cfRule type="cellIs" dxfId="11" priority="20" operator="equal">
      <formula>"Critical"</formula>
    </cfRule>
    <cfRule type="cellIs" dxfId="10" priority="19" operator="equal">
      <formula>"Not available"</formula>
    </cfRule>
  </conditionalFormatting>
  <conditionalFormatting sqref="G22:G87">
    <cfRule type="cellIs" dxfId="9" priority="14" operator="equal">
      <formula>"failed"</formula>
    </cfRule>
    <cfRule type="cellIs" dxfId="8" priority="15" operator="equal">
      <formula>"passed"</formula>
    </cfRule>
    <cfRule type="cellIs" dxfId="7" priority="11" operator="equal">
      <formula>"not available"</formula>
    </cfRule>
    <cfRule type="cellIs" dxfId="6" priority="12" operator="equal">
      <formula>"not tested"</formula>
    </cfRule>
    <cfRule type="cellIs" dxfId="5" priority="13" operator="equal">
      <formula>"not implemented"</formula>
    </cfRule>
  </conditionalFormatting>
  <conditionalFormatting sqref="H59 L59 P59 T59">
    <cfRule type="cellIs" dxfId="4" priority="149" operator="equal">
      <formula>"failed"</formula>
    </cfRule>
    <cfRule type="cellIs" dxfId="3" priority="150" operator="equal">
      <formula>"passed"</formula>
    </cfRule>
    <cfRule type="cellIs" dxfId="2" priority="147" operator="equal">
      <formula>"not tested"</formula>
    </cfRule>
    <cfRule type="cellIs" dxfId="1" priority="146" operator="equal">
      <formula>"not available"</formula>
    </cfRule>
    <cfRule type="cellIs" dxfId="0" priority="148" operator="equal">
      <formula>"not implemented"</formula>
    </cfRule>
  </conditionalFormatting>
  <dataValidations count="7">
    <dataValidation type="list" allowBlank="1" showInputMessage="1" showErrorMessage="1" sqref="E2:H2" xr:uid="{00000000-0002-0000-0200-000000000000}">
      <formula1>Test_types</formula1>
      <formula2>0</formula2>
    </dataValidation>
    <dataValidation type="list" allowBlank="1" showInputMessage="1" showErrorMessage="1" sqref="E7:H7" xr:uid="{00000000-0002-0000-0200-000001000000}">
      <formula1>Browser_list</formula1>
      <formula2>0</formula2>
    </dataValidation>
    <dataValidation type="list" allowBlank="1" showInputMessage="1" showErrorMessage="1" sqref="M22 Q22 I22" xr:uid="{00000000-0002-0000-0200-000002000000}">
      <formula1>Test_coverage</formula1>
      <formula2>0</formula2>
    </dataValidation>
    <dataValidation type="list" allowBlank="1" showInputMessage="1" showErrorMessage="1" sqref="E4:H4" xr:uid="{00000000-0002-0000-0200-000003000000}">
      <formula1>Test_Team</formula1>
      <formula2>0</formula2>
    </dataValidation>
    <dataValidation type="list" allowBlank="1" showInputMessage="1" showErrorMessage="1" sqref="E5:H5" xr:uid="{00000000-0002-0000-0200-000004000000}">
      <formula1>Project_URL</formula1>
      <formula2>0</formula2>
    </dataValidation>
    <dataValidation type="list" allowBlank="1" showInputMessage="1" showErrorMessage="1" sqref="E6:H6" xr:uid="{00000000-0002-0000-0200-000005000000}">
      <formula1>Environment_OS</formula1>
      <formula2>0</formula2>
    </dataValidation>
    <dataValidation type="list" allowBlank="1" showInputMessage="1" showErrorMessage="1" sqref="E22:E87" xr:uid="{83295B87-0B09-4D7C-ADFC-3CC3E88DE5EA}">
      <formula1>$D$11:$D$20</formula1>
      <formula2>0</formula2>
    </dataValidation>
  </dataValidations>
  <pageMargins left="0.7" right="0.7" top="0.75" bottom="0.75" header="0.51180555555555496" footer="0.51180555555555496"/>
  <pageSetup paperSize="9" firstPageNumber="0" orientation="portrait" horizontalDpi="300" verticalDpi="300"/>
  <drawing r:id="rId1"/>
  <legacyDrawing r:id="rId2"/>
</worksheet>
</file>

<file path=docProps/app.xml><?xml version="1.0" encoding="utf-8"?>
<Properties xmlns="http://schemas.openxmlformats.org/officeDocument/2006/extended-properties" xmlns:vt="http://schemas.openxmlformats.org/officeDocument/2006/docPropsVTypes">
  <Template/>
  <TotalTime>91</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Work</vt:lpstr>
      <vt:lpstr>Work!_FilterDatabase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DailyFitLog Acceptance sheet</cp:keywords>
  <dc:description/>
  <cp:lastModifiedBy>Farhana Islam Chowdhury</cp:lastModifiedBy>
  <cp:revision>21</cp:revision>
  <dcterms:created xsi:type="dcterms:W3CDTF">2007-06-26T08:13:00Z</dcterms:created>
  <dcterms:modified xsi:type="dcterms:W3CDTF">2025-10-25T08:56:10Z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ntentType">
    <vt:lpwstr>Document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Owner">
    <vt:lpwstr/>
  </property>
  <property fmtid="{D5CDD505-2E9C-101B-9397-08002B2CF9AE}" pid="8" name="SPSDescription">
    <vt:lpwstr/>
  </property>
  <property fmtid="{D5CDD505-2E9C-101B-9397-08002B2CF9AE}" pid="9" name="ScaleCrop">
    <vt:bool>false</vt:bool>
  </property>
  <property fmtid="{D5CDD505-2E9C-101B-9397-08002B2CF9AE}" pid="10" name="ShareDoc">
    <vt:bool>false</vt:bool>
  </property>
  <property fmtid="{D5CDD505-2E9C-101B-9397-08002B2CF9AE}" pid="11" name="State">
    <vt:lpwstr>Active</vt:lpwstr>
  </property>
  <property fmtid="{D5CDD505-2E9C-101B-9397-08002B2CF9AE}" pid="12" name="Status">
    <vt:lpwstr/>
  </property>
</Properties>
</file>