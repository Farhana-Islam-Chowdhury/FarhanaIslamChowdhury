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F:\"/>
    </mc:Choice>
  </mc:AlternateContent>
  <xr:revisionPtr revIDLastSave="0" documentId="13_ncr:1_{CC4536D9-48C3-4521-92A1-BE52F5F0ABE3}" xr6:coauthVersionLast="47" xr6:coauthVersionMax="47" xr10:uidLastSave="{00000000-0000-0000-0000-000000000000}"/>
  <bookViews>
    <workbookView xWindow="-120" yWindow="-120" windowWidth="29040" windowHeight="15840" tabRatio="500" activeTab="2" xr2:uid="{00000000-000D-0000-FFFF-FFFF00000000}"/>
  </bookViews>
  <sheets>
    <sheet name="Description" sheetId="1" r:id="rId1"/>
    <sheet name="Build Info" sheetId="2" r:id="rId2"/>
    <sheet name="Work" sheetId="5" r:id="rId3"/>
    <sheet name="Testing Plan" sheetId="4" r:id="rId4"/>
  </sheets>
  <definedNames>
    <definedName name="B_Critical">OFFSET('Build Info'!Build_Number,49,0)</definedName>
    <definedName name="Blocker">OFFSET('Build Info'!Build_Number,48,0)</definedName>
    <definedName name="Browser_list">'Testing Plan'!$B$12:$B$21</definedName>
    <definedName name="Build_Number" localSheetId="1">OFFSET('Build Info'!$B$3,0,0,1,COUNTA('Build Info'!$3:$3)-2)</definedName>
    <definedName name="Defects_Total">OFFSET('Build Info'!Build_Number,26,0)</definedName>
    <definedName name="Environment_OS">'Testing Plan'!$B$3:$B$11</definedName>
    <definedName name="Major">OFFSET('Build Info'!Build_Number,50,0)</definedName>
    <definedName name="Minor">OFFSET('Build Info'!Build_Number,51,0)</definedName>
    <definedName name="Project_URL">'Testing Plan'!$K$3:$K$23</definedName>
    <definedName name="Quality">OFFSET('Build Info'!Build_Number,8,0)</definedName>
    <definedName name="Quality_range">Description!$A$92:$A$98</definedName>
    <definedName name="Size">OFFSET('Build Info'!Build_Number,6,0)</definedName>
    <definedName name="Test_coverage">Description!$B$11:$B$13</definedName>
    <definedName name="Test_status">Description!$A$79:$A$83</definedName>
    <definedName name="Test_Team">'Testing Plan'!$H$3:$H$23</definedName>
    <definedName name="Test_types">Description!$B$11:$B$19</definedName>
    <definedName name="Trivial">OFFSET('Build Info'!Build_Number,52,0)</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E20" i="5" l="1"/>
  <c r="E19" i="5"/>
  <c r="E18" i="5"/>
  <c r="E17" i="5"/>
  <c r="E16" i="5"/>
  <c r="E15" i="5"/>
  <c r="E14" i="5"/>
  <c r="E13" i="5"/>
  <c r="E12" i="5"/>
  <c r="E11" i="5"/>
  <c r="E10" i="5"/>
  <c r="E9" i="5" l="1"/>
  <c r="G14" i="5" s="1"/>
  <c r="J56" i="2"/>
  <c r="I56" i="2"/>
  <c r="H56" i="2"/>
  <c r="G56" i="2"/>
  <c r="F56" i="2"/>
  <c r="E56" i="2"/>
  <c r="D56" i="2"/>
  <c r="C56" i="2"/>
  <c r="B56" i="2"/>
  <c r="F47" i="2"/>
  <c r="E47" i="2"/>
  <c r="C47" i="2"/>
  <c r="C40" i="2"/>
  <c r="J29" i="2"/>
  <c r="I29" i="2"/>
  <c r="H29" i="2"/>
  <c r="G29" i="2"/>
  <c r="F29" i="2"/>
  <c r="E29" i="2"/>
  <c r="D29" i="2"/>
  <c r="C29" i="2"/>
  <c r="B29" i="2"/>
  <c r="J11" i="2"/>
  <c r="I11" i="2"/>
  <c r="H11" i="2"/>
  <c r="G11" i="2"/>
  <c r="F11" i="2"/>
  <c r="E11" i="2"/>
  <c r="D11" i="2"/>
  <c r="C11" i="2"/>
  <c r="B11" i="2"/>
  <c r="G12" i="5" l="1"/>
  <c r="G17" i="5"/>
  <c r="G15" i="5"/>
  <c r="G13" i="5"/>
  <c r="G10" i="5"/>
  <c r="G11" i="5"/>
  <c r="G1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8" authorId="0" shapeId="0" xr:uid="{00000000-0006-0000-0000-000006000000}">
      <text>
        <r>
          <rPr>
            <sz val="9"/>
            <color rgb="FF000000"/>
            <rFont val="Tahoma"/>
            <family val="2"/>
            <charset val="204"/>
          </rPr>
          <t>It is recommended not to merge columns with different test types.</t>
        </r>
      </text>
    </comment>
    <comment ref="B19" authorId="0" shapeId="0" xr:uid="{00000000-0006-0000-0000-000007000000}">
      <text>
        <r>
          <rPr>
            <sz val="9"/>
            <color rgb="FF000000"/>
            <rFont val="Tahoma"/>
            <family val="2"/>
            <charset val="204"/>
          </rPr>
          <t>It is recommended not to merge columns with different test types.</t>
        </r>
      </text>
    </comment>
    <comment ref="A92" authorId="0" shapeId="0" xr:uid="{00000000-0006-0000-0000-000001000000}">
      <text>
        <r>
          <rPr>
            <sz val="9"/>
            <color rgb="FF000000"/>
            <rFont val="Tahoma"/>
            <family val="2"/>
            <charset val="204"/>
          </rPr>
          <t>Required</t>
        </r>
      </text>
    </comment>
    <comment ref="A94" authorId="0" shapeId="0" xr:uid="{00000000-0006-0000-0000-000002000000}">
      <text>
        <r>
          <rPr>
            <sz val="9"/>
            <color rgb="FF000000"/>
            <rFont val="Tahoma"/>
            <family val="2"/>
            <charset val="204"/>
          </rPr>
          <t>Required</t>
        </r>
      </text>
    </comment>
    <comment ref="A96" authorId="0" shapeId="0" xr:uid="{00000000-0006-0000-0000-000003000000}">
      <text>
        <r>
          <rPr>
            <sz val="9"/>
            <color rgb="FF000000"/>
            <rFont val="Tahoma"/>
            <family val="2"/>
            <charset val="204"/>
          </rPr>
          <t>Required</t>
        </r>
      </text>
    </comment>
    <comment ref="A97" authorId="0" shapeId="0" xr:uid="{00000000-0006-0000-0000-000004000000}">
      <text>
        <r>
          <rPr>
            <sz val="9"/>
            <color rgb="FF000000"/>
            <rFont val="Tahoma"/>
            <family val="2"/>
            <charset val="204"/>
          </rPr>
          <t>Required</t>
        </r>
      </text>
    </comment>
    <comment ref="A98" authorId="0" shapeId="0" xr:uid="{00000000-0006-0000-0000-000005000000}">
      <text>
        <r>
          <rPr>
            <sz val="9"/>
            <color rgb="FF000000"/>
            <rFont val="Tahoma"/>
            <family val="2"/>
            <charset val="204"/>
          </rPr>
          <t>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B20E5AA3-3CA0-4900-91CA-847025EB4BE3}">
      <text>
        <r>
          <rPr>
            <sz val="9"/>
            <color rgb="FF000000"/>
            <rFont val="Tahoma"/>
            <family val="2"/>
            <charset val="204"/>
          </rPr>
          <t>required</t>
        </r>
      </text>
    </comment>
    <comment ref="D2" authorId="0" shapeId="0" xr:uid="{2B4422C7-E630-4FF5-B10A-E7A469F90A01}">
      <text>
        <r>
          <rPr>
            <sz val="9"/>
            <color rgb="FF000000"/>
            <rFont val="Tahoma"/>
            <family val="2"/>
            <charset val="204"/>
          </rPr>
          <t>required</t>
        </r>
      </text>
    </comment>
    <comment ref="D3" authorId="0" shapeId="0" xr:uid="{743BF25A-E83F-41D7-9651-7518CEB86927}">
      <text>
        <r>
          <rPr>
            <sz val="9"/>
            <color rgb="FF000000"/>
            <rFont val="Tahoma"/>
            <family val="2"/>
            <charset val="204"/>
          </rPr>
          <t>required</t>
        </r>
      </text>
    </comment>
    <comment ref="D4" authorId="0" shapeId="0" xr:uid="{A8692504-A83C-4931-84EF-6B57F1AA9A91}">
      <text>
        <r>
          <rPr>
            <sz val="9"/>
            <color rgb="FF000000"/>
            <rFont val="Tahoma"/>
            <family val="2"/>
            <charset val="204"/>
          </rPr>
          <t>required</t>
        </r>
      </text>
    </comment>
    <comment ref="D5" authorId="0" shapeId="0" xr:uid="{BD42270E-085B-487F-A69D-05D374957A66}">
      <text>
        <r>
          <rPr>
            <sz val="9"/>
            <color rgb="FF000000"/>
            <rFont val="Tahoma"/>
            <family val="2"/>
            <charset val="204"/>
          </rPr>
          <t>required</t>
        </r>
      </text>
    </comment>
  </commentList>
</comments>
</file>

<file path=xl/sharedStrings.xml><?xml version="1.0" encoding="utf-8"?>
<sst xmlns="http://schemas.openxmlformats.org/spreadsheetml/2006/main" count="1049" uniqueCount="375">
  <si>
    <t>No Need to Edit  (EXAMPLE)</t>
  </si>
  <si>
    <t>Test Survey contains information about all tests and their results.</t>
  </si>
  <si>
    <t>Test Survey should be sent as an attach to PM, TM and PC after the MAT, the New Features Testing (if an acceptance test will not be executed) and the Acceptance Test.</t>
  </si>
  <si>
    <t>A common description of the quality of the build in accordance with last testing type should be included in such letters.</t>
  </si>
  <si>
    <t>Build Info &amp; Testing tabs description</t>
  </si>
  <si>
    <t>Build Information</t>
  </si>
  <si>
    <t>Build Number</t>
  </si>
  <si>
    <t>The number of the build that was tested.</t>
  </si>
  <si>
    <t>Test type</t>
  </si>
  <si>
    <t>Smoke Test</t>
  </si>
  <si>
    <t xml:space="preserve">A subset of all defined/planned test cases that cover the main functionality of a component or system, to ascertaining that the most crucial functions of a program work, but not bothering with finer details. </t>
  </si>
  <si>
    <t>MAT</t>
  </si>
  <si>
    <r>
      <rPr>
        <b/>
        <sz val="8"/>
        <rFont val="Arial"/>
        <family val="2"/>
        <charset val="204"/>
      </rPr>
      <t>Minimal Acceptance Test</t>
    </r>
    <r>
      <rPr>
        <sz val="8"/>
        <rFont val="Arial"/>
        <family val="2"/>
        <charset val="204"/>
      </rPr>
      <t xml:space="preserve">: A test directed to check that all application functions can be performed with correct data.
Check if all application features can be used under correct conditions. For complex and large applications, a limited set of functions and scenarios is used. </t>
    </r>
  </si>
  <si>
    <t>AT</t>
  </si>
  <si>
    <r>
      <rPr>
        <b/>
        <sz val="8"/>
        <rFont val="Arial"/>
        <family val="2"/>
        <charset val="204"/>
      </rPr>
      <t>Full Acceptance Test</t>
    </r>
    <r>
      <rPr>
        <sz val="8"/>
        <rFont val="Arial"/>
        <family val="2"/>
        <charset val="204"/>
      </rPr>
      <t xml:space="preserve">: A test directed to verify that the software can be used by end users to perform the functions and tasks for which the software was built under any conditions.
Business logic + functionality + form behaviour + GUI test + Usability test + localisation test (if applicable) — a complete test of the functionality and interface under any conditions (positive and negative testing). All these tests make up a maximal set for testing, but it can also comprise one or several parts (depending on the end-users aims while using the product). </t>
    </r>
  </si>
  <si>
    <t>NFT</t>
  </si>
  <si>
    <r>
      <rPr>
        <b/>
        <sz val="8"/>
        <rFont val="Arial"/>
        <family val="2"/>
        <charset val="204"/>
      </rPr>
      <t>Full Acceptance Test of New Features</t>
    </r>
    <r>
      <rPr>
        <sz val="8"/>
        <rFont val="Arial"/>
        <family val="2"/>
        <charset val="204"/>
      </rPr>
      <t xml:space="preserve">: A test directed to verify if the feature is completely and correctly implemented and if the logic of the product is not affected.
Check if all application features can be used under correct conditions. For complex and large applications, a limited set of functions and scenarios is used. </t>
    </r>
  </si>
  <si>
    <t>DV</t>
  </si>
  <si>
    <r>
      <rPr>
        <b/>
        <sz val="8"/>
        <rFont val="Arial"/>
        <family val="2"/>
        <charset val="204"/>
      </rPr>
      <t>Defects Validation</t>
    </r>
    <r>
      <rPr>
        <sz val="8"/>
        <rFont val="Arial"/>
        <family val="2"/>
        <charset val="204"/>
      </rPr>
      <t xml:space="preserve">: A test directed to check all the defects that were resolved against the current build.
Testing of the feature that contained the fixed defect. </t>
    </r>
  </si>
  <si>
    <t>Regression Test</t>
  </si>
  <si>
    <t xml:space="preserve">Testing of a previously tested program following modification to ensure that defects have not been introduced or uncovered in unchanged areas of the software, as a result of the changes made. It is performed when the software or its environment is changed. </t>
  </si>
  <si>
    <t>Crossbrowser Test</t>
  </si>
  <si>
    <t xml:space="preserve">Testing of the program to determine if it's functional on different internet browsers. </t>
  </si>
  <si>
    <t>Add test type if it's not on the list.</t>
  </si>
  <si>
    <t>Test date</t>
  </si>
  <si>
    <t>Date range when the tests were performed.</t>
  </si>
  <si>
    <t>Tester</t>
  </si>
  <si>
    <t>Testers who performed tests.</t>
  </si>
  <si>
    <t>Environment / OS</t>
  </si>
  <si>
    <t>Environment / OS on which the tests were performed.</t>
  </si>
  <si>
    <t>Browser</t>
  </si>
  <si>
    <t>Browser on which the tests were performed.</t>
  </si>
  <si>
    <t>Project Size</t>
  </si>
  <si>
    <t>Subjective metric set for the first build by QA Manager for further tracking of quality.</t>
  </si>
  <si>
    <t>Quality</t>
  </si>
  <si>
    <t>Subjective quality rate of the build.</t>
  </si>
  <si>
    <t>Quality rate</t>
  </si>
  <si>
    <t>Calculated quality of the build.</t>
  </si>
  <si>
    <t>Total defects quantity</t>
  </si>
  <si>
    <t>Quantity of all active defects in Jira by the end of testing.</t>
  </si>
  <si>
    <t>New defects quantity</t>
  </si>
  <si>
    <t>Quantity of active defects in Jira by the end of testing found in the current build.</t>
  </si>
  <si>
    <t>Comments</t>
  </si>
  <si>
    <t>Any comments that are needed.</t>
  </si>
  <si>
    <t>New defects found</t>
  </si>
  <si>
    <t>Quantity of active defects by the end of testing found in the current build.</t>
  </si>
  <si>
    <t>With high severity</t>
  </si>
  <si>
    <t>Quantity of active defects with high severity (Average, Major, Critical) by the end of testing found in the current build.</t>
  </si>
  <si>
    <t>Jira defects status report</t>
  </si>
  <si>
    <t>Open</t>
  </si>
  <si>
    <t>Quantity of defects having "Open" state by the end of testing (the issue is open and ready for the assignee to start work on it).</t>
  </si>
  <si>
    <t>In Progress</t>
  </si>
  <si>
    <t>Quantity of defects having "In Progress" state by the end of testing (this issue is being actively worked on at the moment by the assignee).</t>
  </si>
  <si>
    <t>Resolved</t>
  </si>
  <si>
    <t>Quantity of defects having "Resolved" state by the end of testing (A resolution has been taken, and it is awaiting verification by reporter. From here issues are either reopened, or are closed).</t>
  </si>
  <si>
    <t>Postponed</t>
  </si>
  <si>
    <t>Quantity of defects having "Postponed" state by the end of testing.</t>
  </si>
  <si>
    <t>To be reformulated</t>
  </si>
  <si>
    <t>Quantity of defects having "To be reformulated" state by the end of testing.</t>
  </si>
  <si>
    <t>Total</t>
  </si>
  <si>
    <t>Total quantity of active defects in JIRA.</t>
  </si>
  <si>
    <t>Defect validation report</t>
  </si>
  <si>
    <t>Number of checked defects</t>
  </si>
  <si>
    <t>Quantity of defects checked in the current build.</t>
  </si>
  <si>
    <t>Reject: Critical</t>
  </si>
  <si>
    <t>Quantity of rejected defects with "Critical" severity in the current build.</t>
  </si>
  <si>
    <t>Reject: Major</t>
  </si>
  <si>
    <t>Quantity of rejected defects with "Major" severity in the current build.</t>
  </si>
  <si>
    <t>Reject: Average</t>
  </si>
  <si>
    <t>Quantity of rejected defects with "Average" severity in the current build.</t>
  </si>
  <si>
    <t>Reject: Minor</t>
  </si>
  <si>
    <t>Quantity of rejected defects with "Minor" severity in the current build.</t>
  </si>
  <si>
    <t>Reject: Enhancement</t>
  </si>
  <si>
    <t>Quantity of rejected defects with "Enhancement" severity in the current build.</t>
  </si>
  <si>
    <t>Not checked</t>
  </si>
  <si>
    <t>Quantity of defects required to be checked but not checked.</t>
  </si>
  <si>
    <t>Percent of Rejects</t>
  </si>
  <si>
    <t>Percentage of rejected defects.</t>
  </si>
  <si>
    <t>CR validation report</t>
  </si>
  <si>
    <t>Number of checked CRs</t>
  </si>
  <si>
    <t>Quantity of CRs checked in the current build.</t>
  </si>
  <si>
    <t>Rejected</t>
  </si>
  <si>
    <t>Quantity of rejected CRs in the current build.</t>
  </si>
  <si>
    <t>Quantity of CRs required to be checked but not checked.</t>
  </si>
  <si>
    <t>Percentage of rejected CRs.</t>
  </si>
  <si>
    <t>Jira defects severity report</t>
  </si>
  <si>
    <t>Critical</t>
  </si>
  <si>
    <t>Quantity of active defects with "Critical" severity by the end of testing.</t>
  </si>
  <si>
    <t>Major</t>
  </si>
  <si>
    <t>Quantity of active defects with "Major" severity by the end of testing.</t>
  </si>
  <si>
    <t>Average</t>
  </si>
  <si>
    <t>Quantity of active defects with "Average" severity by the end of testing.</t>
  </si>
  <si>
    <t>Minor</t>
  </si>
  <si>
    <t>Quantity of active defects with "Minor" severity by the end of testing.</t>
  </si>
  <si>
    <t>Enhancement</t>
  </si>
  <si>
    <t>Quantity of active defects with "Enhancement" severity by the end of testing.</t>
  </si>
  <si>
    <t>Results used by the tester when filling cells of the Test Survey</t>
  </si>
  <si>
    <t>OK</t>
  </si>
  <si>
    <t>The case is working correctly.</t>
  </si>
  <si>
    <t>Partially tested</t>
  </si>
  <si>
    <t>The case is partially tested.</t>
  </si>
  <si>
    <t>Not available</t>
  </si>
  <si>
    <t>Function is not available for test.</t>
  </si>
  <si>
    <t>Not implemented</t>
  </si>
  <si>
    <t>Function has been not implemented yet.</t>
  </si>
  <si>
    <t>Not tested</t>
  </si>
  <si>
    <t>Function has not been tested.</t>
  </si>
  <si>
    <t>Build quality range</t>
  </si>
  <si>
    <t>High</t>
  </si>
  <si>
    <t>Applies to MAT, AT, NFT, Regression test, Crossbrowser test. 
A few Enhancement/minor GUI problems exist in the application, the application works as designed, and conforms the end-user’s requirements.</t>
  </si>
  <si>
    <t>Above Medium</t>
  </si>
  <si>
    <t xml:space="preserve">Applies to MAT, AT, NFT, Regression test, Crossbrowser test. 
Some minor issues exist in the application. It works as designed and these defects do not affect seriously end-user’s work. Insignificant functional or GUI issues exist, fixing of which would slightly improve a use case behavior or performance. The use cases complete as designed. </t>
  </si>
  <si>
    <t>Medium</t>
  </si>
  <si>
    <t xml:space="preserve">Applies to MAT, AT, NFT, Regression test, Crossbrowser test. 
A quantity of minor and a few Average problems disrupting the normal user’s work. There are issues which affects functional areas within minor features. The use cases can be completed with a minimum of workaround. </t>
  </si>
  <si>
    <t>Below Medium</t>
  </si>
  <si>
    <t xml:space="preserve">Applies to MAT, AT, NFT, Regression test, Crossbrowser test. 
A great deal of minor and Average problems disrupting the normal user’s work. There are issues which affects functional areas within Average features. The use cases can be completed with a minimum of workaround. </t>
  </si>
  <si>
    <t>Low</t>
  </si>
  <si>
    <t xml:space="preserve">Applies to MAT, AT, NFT, Regression test, Crossbrowser test. 
Major or Average issues exist. The user can not work properly with the application. There are issues which affect the use of one or more Average features within the application. There may be a workaround, however, and testing can continue. </t>
  </si>
  <si>
    <t>Acceptable</t>
  </si>
  <si>
    <t>Applies to ST and means that the build is acceptable for further testing. 
Applies to DV and means that 10% or less of issues rejected.</t>
  </si>
  <si>
    <t>Not Acceptable</t>
  </si>
  <si>
    <t>Applies to ST and means that the build is not acceptable for further testing. The test team is blocked.
Applies to DV and means that more than 10% of issues rejected.</t>
  </si>
  <si>
    <t>Testing Plan tab description</t>
  </si>
  <si>
    <t>Information about required browsers and OS, necessary tests and their date and results.</t>
  </si>
  <si>
    <t>Required</t>
  </si>
  <si>
    <t>Build number</t>
  </si>
  <si>
    <t>0.0.1</t>
  </si>
  <si>
    <t>0.0.2</t>
  </si>
  <si>
    <t>0.0.3</t>
  </si>
  <si>
    <t>0.0.4</t>
  </si>
  <si>
    <t>0.0.5</t>
  </si>
  <si>
    <t>0.0.6</t>
  </si>
  <si>
    <t>0.0.7</t>
  </si>
  <si>
    <t>0.0.8</t>
  </si>
  <si>
    <t>0.0.9</t>
  </si>
  <si>
    <t>11-12.06.2012</t>
  </si>
  <si>
    <t>A. Pechinsky</t>
  </si>
  <si>
    <t>A. Burtsev</t>
  </si>
  <si>
    <t>M. Matievskaya</t>
  </si>
  <si>
    <t>A. Sotnikov</t>
  </si>
  <si>
    <t>E. Yakimova</t>
  </si>
  <si>
    <t>Win 7</t>
  </si>
  <si>
    <t>MacOS 10.7.2</t>
  </si>
  <si>
    <t>Android 2.3</t>
  </si>
  <si>
    <t>IE 9</t>
  </si>
  <si>
    <t>Safari 6</t>
  </si>
  <si>
    <t>Firefox 17</t>
  </si>
  <si>
    <t>—</t>
  </si>
  <si>
    <t>Project size</t>
  </si>
  <si>
    <t>–</t>
  </si>
  <si>
    <t>Statistics for Defects</t>
  </si>
  <si>
    <t>New defects found:</t>
  </si>
  <si>
    <t>Jira defects status report:</t>
  </si>
  <si>
    <t>Defect validation report:</t>
  </si>
  <si>
    <t>CR validation report:</t>
  </si>
  <si>
    <t>Jira defects severity report:</t>
  </si>
  <si>
    <t>Description</t>
  </si>
  <si>
    <t>1.0.1</t>
  </si>
  <si>
    <t>Project Environment</t>
  </si>
  <si>
    <t>http://projectx_live.com</t>
  </si>
  <si>
    <t>Operating System</t>
  </si>
  <si>
    <t>iPhone 5</t>
  </si>
  <si>
    <t>Test Cases Statistics</t>
  </si>
  <si>
    <t>Total Test Cases Run</t>
  </si>
  <si>
    <t>Total Time Spent, h</t>
  </si>
  <si>
    <t>Test Type</t>
  </si>
  <si>
    <t>Functionality</t>
  </si>
  <si>
    <t>Actions</t>
  </si>
  <si>
    <t>Expected Result</t>
  </si>
  <si>
    <t>Result</t>
  </si>
  <si>
    <t>Comment</t>
  </si>
  <si>
    <t>Time Spent, min (No need to count)</t>
  </si>
  <si>
    <t>Smoke</t>
  </si>
  <si>
    <t>Requirement</t>
  </si>
  <si>
    <t>Software</t>
  </si>
  <si>
    <t>Test Team</t>
  </si>
  <si>
    <t>URL</t>
  </si>
  <si>
    <t>Environment / Operating System</t>
  </si>
  <si>
    <t>Live</t>
  </si>
  <si>
    <t>6.8 %</t>
  </si>
  <si>
    <t>UAT</t>
  </si>
  <si>
    <t>http://projectx_uat.com</t>
  </si>
  <si>
    <t>iPad 3</t>
  </si>
  <si>
    <t>Test</t>
  </si>
  <si>
    <t>http://projectx_test.com</t>
  </si>
  <si>
    <t>Dev</t>
  </si>
  <si>
    <t>http://projectx_dev.com</t>
  </si>
  <si>
    <t>iPhone 4S</t>
  </si>
  <si>
    <t>Android 4.0</t>
  </si>
  <si>
    <t>Add environment / operating system if it's not on the list.</t>
  </si>
  <si>
    <t>Used for testing environment with built-in browser (e.g. in Android system).</t>
  </si>
  <si>
    <t>IE 8</t>
  </si>
  <si>
    <t>IE 7</t>
  </si>
  <si>
    <t>Chrome 23</t>
  </si>
  <si>
    <t>Safari 5</t>
  </si>
  <si>
    <t>Opera 12</t>
  </si>
  <si>
    <t>Add browser if it's not on the list.</t>
  </si>
  <si>
    <t>Language: English</t>
  </si>
  <si>
    <t xml:space="preserve"> </t>
  </si>
  <si>
    <t>Main Test Condition</t>
  </si>
  <si>
    <t>OS</t>
  </si>
  <si>
    <t>Additional Test Plan</t>
  </si>
  <si>
    <t>1.5.2</t>
  </si>
  <si>
    <t>04 - 05.12.2012</t>
  </si>
  <si>
    <t>f2.chowdhury</t>
  </si>
  <si>
    <t xml:space="preserve">              Smoke</t>
  </si>
  <si>
    <t>Smoke Test, MAT,AT</t>
  </si>
  <si>
    <t xml:space="preserve"> Windows 10 Pro</t>
  </si>
  <si>
    <t xml:space="preserve">Chrome Version 134.0.6998.89 </t>
  </si>
  <si>
    <t>Project</t>
  </si>
  <si>
    <t>Infosystem</t>
  </si>
  <si>
    <t xml:space="preserve">                 Smoke</t>
  </si>
  <si>
    <t>Main Page</t>
  </si>
  <si>
    <t>Perform check that 'Login for patient' page</t>
  </si>
  <si>
    <t xml:space="preserve">Login form for Patient is displayed </t>
  </si>
  <si>
    <t>Perform check that 'Login for Health officer' page</t>
  </si>
  <si>
    <t xml:space="preserve">Login form for Health officer is displayed </t>
  </si>
  <si>
    <t>Perform check for user login as patient</t>
  </si>
  <si>
    <t>Valid patient with correct username and password is login to the site</t>
  </si>
  <si>
    <t>Perform check for user login as Health Officer</t>
  </si>
  <si>
    <t>Valid Health Oficer with correct username and password is login to the site</t>
  </si>
  <si>
    <t>Perform check for site logo</t>
  </si>
  <si>
    <t xml:space="preserve">The site logo is displayed </t>
  </si>
  <si>
    <t xml:space="preserve">Perform check for the login buttton </t>
  </si>
  <si>
    <t xml:space="preserve">The login button color is changed when hover over to the button </t>
  </si>
  <si>
    <t>Perform check the alignment of the login and password box</t>
  </si>
  <si>
    <t>The login and password field box have same alignemt</t>
  </si>
  <si>
    <t xml:space="preserve">Perform check the greeting text for first time login </t>
  </si>
  <si>
    <t xml:space="preserve">Welcome, "Username" is displayed as the greeting message </t>
  </si>
  <si>
    <t xml:space="preserve">Perform check the URL of the site </t>
  </si>
  <si>
    <t xml:space="preserve">The URL contain the site menu name in the path </t>
  </si>
  <si>
    <t xml:space="preserve">Perfom check the layout of the page </t>
  </si>
  <si>
    <t xml:space="preserve">The correct layout is displayed in the site </t>
  </si>
  <si>
    <t xml:space="preserve">Perform check that header menu in the site </t>
  </si>
  <si>
    <t>Perform check the "Submit a Complain" button</t>
  </si>
  <si>
    <t xml:space="preserve">The complain form is displayed </t>
  </si>
  <si>
    <t xml:space="preserve">Perform check the instraction message </t>
  </si>
  <si>
    <t>"Fill up all the fields to send a complain. Thank you." instraction message is displayed in the page</t>
  </si>
  <si>
    <t>Perform check the user information in the complain page</t>
  </si>
  <si>
    <t>All the information of the user is displayed in the complain page</t>
  </si>
  <si>
    <t>Perform check the "Type of Complain" dropdown</t>
  </si>
  <si>
    <t>The dropdown options is displayed after click on the dropdown menu</t>
  </si>
  <si>
    <t>The selected option is displayed in the field</t>
  </si>
  <si>
    <t>Perform check the "Organization" dropdown</t>
  </si>
  <si>
    <t>Perform check that selected option in the "Type of Complain" dropdown menu</t>
  </si>
  <si>
    <t>Perform check that selected option in the "Organization" dropdown menu</t>
  </si>
  <si>
    <t>Perform check the "Send the complain" button when the field is empty</t>
  </si>
  <si>
    <t>The error message is displayed the complain page</t>
  </si>
  <si>
    <t>Perform check the "Send the complain" button when the field is fillup</t>
  </si>
  <si>
    <t xml:space="preserve">The successful message is displayed and the complain number is generated </t>
  </si>
  <si>
    <t xml:space="preserve">Perform check the site Title name </t>
  </si>
  <si>
    <t>The correct page title is displayed</t>
  </si>
  <si>
    <t>All the Submited Complains are displayed in the ''Submited Complains" page</t>
  </si>
  <si>
    <t>Perform check the Status of the complain</t>
  </si>
  <si>
    <t>The correct status is displayed in the Status field</t>
  </si>
  <si>
    <t>The correct Complain number and date are displayed in the list</t>
  </si>
  <si>
    <t>Perform check the complain number and date in the complain list</t>
  </si>
  <si>
    <t>Submit A Complain</t>
  </si>
  <si>
    <t>Perform check that submited complains</t>
  </si>
  <si>
    <t>Submitted Complains</t>
  </si>
  <si>
    <t>Perform check that displayed message in the right site</t>
  </si>
  <si>
    <t>The correct message is displayed in the right side</t>
  </si>
  <si>
    <t>Perform check when click on a complain</t>
  </si>
  <si>
    <t xml:space="preserve">The correct details of the complain is displayed </t>
  </si>
  <si>
    <t>Perform check the scroll in the page</t>
  </si>
  <si>
    <t>The scroll is working fine</t>
  </si>
  <si>
    <t>Perfom check for the back button</t>
  </si>
  <si>
    <t xml:space="preserve">The back button is working correctly </t>
  </si>
  <si>
    <t xml:space="preserve">The user gets logout from the site </t>
  </si>
  <si>
    <t>Perfom check when click on the logout button</t>
  </si>
  <si>
    <t xml:space="preserve">Perform check the Save Password field </t>
  </si>
  <si>
    <t>The password is saved when the save password field is checked</t>
  </si>
  <si>
    <t>Submodule 1 (Health Officer)</t>
  </si>
  <si>
    <t xml:space="preserve">The sign up from is displayed </t>
  </si>
  <si>
    <t xml:space="preserve">Peform check for the sign up form link </t>
  </si>
  <si>
    <t xml:space="preserve">Perform check for information message </t>
  </si>
  <si>
    <t xml:space="preserve">The correct information message is displayed </t>
  </si>
  <si>
    <t xml:space="preserve">Perfom check the footer of the page </t>
  </si>
  <si>
    <t>The footer is displayed under the page</t>
  </si>
  <si>
    <t xml:space="preserve">Perform check the required sign of the fields </t>
  </si>
  <si>
    <t>All the required fields has required sign</t>
  </si>
  <si>
    <t xml:space="preserve">Perform check the login field </t>
  </si>
  <si>
    <t xml:space="preserve">Peform check that when fields are empty </t>
  </si>
  <si>
    <t xml:space="preserve">The error message is displayed under the fields </t>
  </si>
  <si>
    <t xml:space="preserve">Login filed should contain 1 to 10 characters </t>
  </si>
  <si>
    <t xml:space="preserve">Perform check the password field </t>
  </si>
  <si>
    <t xml:space="preserve">Password filed should contain 4 to 10 characters </t>
  </si>
  <si>
    <t xml:space="preserve">Perform check the Last Name field </t>
  </si>
  <si>
    <t xml:space="preserve">Perform check the Name field </t>
  </si>
  <si>
    <t xml:space="preserve">Perform check the Middle Name field </t>
  </si>
  <si>
    <t xml:space="preserve">Name filed should contain 1 to 50 characters </t>
  </si>
  <si>
    <t xml:space="preserve">Middle Name filed should contain 1 to 50 characters </t>
  </si>
  <si>
    <t xml:space="preserve">Last Name filed should contain 1 to 50 characters </t>
  </si>
  <si>
    <t xml:space="preserve">Perform check the Date of birth field </t>
  </si>
  <si>
    <t xml:space="preserve">Date of birth filed should contain fixed 10 characters </t>
  </si>
  <si>
    <t>Perform check the Working in organization field</t>
  </si>
  <si>
    <t>Perform check the Role field</t>
  </si>
  <si>
    <t xml:space="preserve">Perfom check the sign up button with correct data in all the fields </t>
  </si>
  <si>
    <t xml:space="preserve">The user is created successfully </t>
  </si>
  <si>
    <t xml:space="preserve">Perform check the success notificaton </t>
  </si>
  <si>
    <t xml:space="preserve">The success notification is displayed after create a health officer </t>
  </si>
  <si>
    <t>In the pahe header Main page, Submit a Compline, Submitted Complains, Back and log out menu are displayed</t>
  </si>
  <si>
    <t>Perform check the Submitted Complains option</t>
  </si>
  <si>
    <t>All the created complains are displayed in the Submitted complains page</t>
  </si>
  <si>
    <t>Perform check that Order Complains by: field</t>
  </si>
  <si>
    <t>The dropdown is displayed in the field</t>
  </si>
  <si>
    <t>Perform check the Date field</t>
  </si>
  <si>
    <t>The Date field only contain Date</t>
  </si>
  <si>
    <t xml:space="preserve">The correct sorting is applied and result is displayed </t>
  </si>
  <si>
    <t xml:space="preserve">Perform check the button after date field </t>
  </si>
  <si>
    <t xml:space="preserve">The process button is displayed after the Date field </t>
  </si>
  <si>
    <t>Perform check the complain information in the list</t>
  </si>
  <si>
    <t xml:space="preserve">Perfrom check when click on any Complain option </t>
  </si>
  <si>
    <t xml:space="preserve">The complain details with patient information is displayed </t>
  </si>
  <si>
    <t xml:space="preserve">Perform check that complain have actual status </t>
  </si>
  <si>
    <t>The status is actual for the complain</t>
  </si>
  <si>
    <t>Perform check the Date of Processing</t>
  </si>
  <si>
    <t>Only Date should be selected in the field</t>
  </si>
  <si>
    <t>Perform check the Result of Complain processing: dropodown option</t>
  </si>
  <si>
    <t>Perform check the Answer field when it is empty</t>
  </si>
  <si>
    <t xml:space="preserve">The error message is displayed </t>
  </si>
  <si>
    <t xml:space="preserve">Perform check the Process button </t>
  </si>
  <si>
    <t>The complain with actual status and answer is displayed to the patient</t>
  </si>
  <si>
    <t>Back</t>
  </si>
  <si>
    <t xml:space="preserve">Logout </t>
  </si>
  <si>
    <t>In the page header Main page, Submitted Complains, Back and log out menu are displayed</t>
  </si>
  <si>
    <t>In the page header Main page, Institution Service Quality, Statistics for Institution,Back and log out menu are displayed</t>
  </si>
  <si>
    <t>Institution Service Quality</t>
  </si>
  <si>
    <t>Role: Accompaning Officer</t>
  </si>
  <si>
    <t>Role: Public Health officer</t>
  </si>
  <si>
    <t xml:space="preserve">Perform check the Institution Service Quality option </t>
  </si>
  <si>
    <t xml:space="preserve">The Institution Service Quality page is displayed </t>
  </si>
  <si>
    <t xml:space="preserve">Perform check the Period dropdown </t>
  </si>
  <si>
    <t xml:space="preserve">All the months are displayed in the dropdown option </t>
  </si>
  <si>
    <t xml:space="preserve">Perform check the Institution dropdown </t>
  </si>
  <si>
    <t>Perform check the Institution dropdown selection</t>
  </si>
  <si>
    <t>The selected option is displayed after select the dropdown option</t>
  </si>
  <si>
    <t xml:space="preserve">Perform check the Create report button when all fields are filled </t>
  </si>
  <si>
    <t>The report is created with correct data</t>
  </si>
  <si>
    <t xml:space="preserve">Perform check the Create report button when all fields are not  filled </t>
  </si>
  <si>
    <t xml:space="preserve">No Statistics was found message is displayed </t>
  </si>
  <si>
    <t>Statistics for Institution</t>
  </si>
  <si>
    <t xml:space="preserve">Perform check the Statistics for Institution opton </t>
  </si>
  <si>
    <t xml:space="preserve">The Statistics for Institution page is opened </t>
  </si>
  <si>
    <t xml:space="preserve">Perform check the show field when all fields are filled </t>
  </si>
  <si>
    <t xml:space="preserve">A Graph is displayed with the statustics </t>
  </si>
  <si>
    <t xml:space="preserve">Perform check the role of the user </t>
  </si>
  <si>
    <t>The user is login as Public Health Officer role</t>
  </si>
  <si>
    <t>The user is login as Accompaning Officer role</t>
  </si>
  <si>
    <t xml:space="preserve">Patient </t>
  </si>
  <si>
    <t>Perform check the Number of Insurance Policy field</t>
  </si>
  <si>
    <t>Perform check the Phone Number field</t>
  </si>
  <si>
    <t>Only Number from 11 to 15 digit should be selected in the field</t>
  </si>
  <si>
    <t>Only Number from 4 to 16 digit should be selected in the field</t>
  </si>
  <si>
    <t>Perform check the Email field</t>
  </si>
  <si>
    <t>The Email field should contain 5 to 100 characters</t>
  </si>
  <si>
    <t xml:space="preserve">Create Patient </t>
  </si>
  <si>
    <t xml:space="preserve">Sign up for Health Officer </t>
  </si>
  <si>
    <t>Sign up for Patient</t>
  </si>
  <si>
    <t>Login page</t>
  </si>
  <si>
    <t>Login Page</t>
  </si>
  <si>
    <t>The medical portal is designed to accommodate two types of users: patients and health officers. Health officers are further divided into two roles—accompanying officers and public health officers—each with distinct responsibilities. Patients can log in to the portal to submit complaints related to their medical concerns and track the status of those complaints over time. Accompanying officers are tasked with reviewing the complaints submitted by patients and updating their statuses based on the investigation or action taken. Public health officers, on the other hand, have access to analytical tools within the portal that allow them to generate reports and visual diagrams based on selected time periods. These features support data-driven decision-making and help in monitoring public health trends effectively</t>
  </si>
  <si>
    <t xml:space="preserve">                                      https://infosystem.demohoster.com/</t>
  </si>
  <si>
    <t>Perfom check the sorting by "Order Complains by:" field</t>
  </si>
  <si>
    <t>Complain no, date and status are displayed in the complain list</t>
  </si>
  <si>
    <t>Perfom check for the report</t>
  </si>
  <si>
    <t>All information is displayed</t>
  </si>
  <si>
    <t>Perform check for after click on login button as Health officer</t>
  </si>
  <si>
    <t>Login page is displayed</t>
  </si>
  <si>
    <t>Page Layout</t>
  </si>
  <si>
    <t>Perform check for response for window resizing</t>
  </si>
  <si>
    <t>Page is responsive for all size</t>
  </si>
  <si>
    <t>Subitted Complains</t>
  </si>
  <si>
    <t>Perform check for search by date</t>
  </si>
  <si>
    <t xml:space="preserve"> The complain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</si>
</sst>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mm/yy"/>
    <numFmt numFmtId="166" formatCode="[$-809]dd\ mmmm\ yyyy;@"/>
  </numFmts>
  <fonts count="37" x14ac:knownFonts="1">
    <font>
      <sz val="10"/>
      <name val="Arial"/>
      <charset val="204"/>
    </font>
    <font>
      <sz val="11"/>
      <color rgb="FF000000"/>
      <name val="Calibri"/>
      <family val="2"/>
      <charset val="204"/>
    </font>
    <font>
      <sz val="10"/>
      <name val="Arial"/>
      <family val="2"/>
      <charset val="204"/>
    </font>
    <font>
      <sz val="10"/>
      <name val="Arial Cyr"/>
      <charset val="204"/>
    </font>
    <font>
      <sz val="8"/>
      <name val="Arial"/>
      <family val="2"/>
      <charset val="204"/>
    </font>
    <font>
      <b/>
      <sz val="15"/>
      <color rgb="FFFF0000"/>
      <name val="Arial"/>
      <family val="2"/>
      <charset val="204"/>
    </font>
    <font>
      <sz val="15"/>
      <color rgb="FFFF0000"/>
      <name val="Arial"/>
      <family val="2"/>
      <charset val="204"/>
    </font>
    <font>
      <sz val="11"/>
      <color rgb="FFFFFFFF"/>
      <name val="Calibri"/>
      <family val="2"/>
      <charset val="1"/>
    </font>
    <font>
      <b/>
      <sz val="9"/>
      <color rgb="FFFFFFFF"/>
      <name val="Arial"/>
      <family val="2"/>
      <charset val="204"/>
    </font>
    <font>
      <b/>
      <sz val="8"/>
      <color rgb="FFC00000"/>
      <name val="Arial"/>
      <family val="2"/>
      <charset val="204"/>
    </font>
    <font>
      <b/>
      <sz val="8"/>
      <color rgb="FF404040"/>
      <name val="Arial"/>
      <family val="2"/>
      <charset val="204"/>
    </font>
    <font>
      <b/>
      <sz val="8"/>
      <name val="Arial"/>
      <family val="2"/>
      <charset val="204"/>
    </font>
    <font>
      <i/>
      <sz val="8"/>
      <name val="Arial"/>
      <family val="2"/>
      <charset val="204"/>
    </font>
    <font>
      <sz val="8"/>
      <color rgb="FF006100"/>
      <name val="Arial"/>
      <family val="2"/>
      <charset val="204"/>
    </font>
    <font>
      <sz val="11"/>
      <color rgb="FF006100"/>
      <name val="Calibri"/>
      <family val="2"/>
      <charset val="1"/>
    </font>
    <font>
      <sz val="8"/>
      <color rgb="FF865600"/>
      <name val="Arial"/>
      <family val="2"/>
      <charset val="204"/>
    </font>
    <font>
      <sz val="11"/>
      <color rgb="FF9C6500"/>
      <name val="Calibri"/>
      <family val="2"/>
      <charset val="1"/>
    </font>
    <font>
      <sz val="8"/>
      <color rgb="FF984807"/>
      <name val="Arial"/>
      <family val="2"/>
      <charset val="204"/>
    </font>
    <font>
      <sz val="8"/>
      <color rgb="FF9C0006"/>
      <name val="Arial"/>
      <family val="2"/>
      <charset val="204"/>
    </font>
    <font>
      <sz val="11"/>
      <color rgb="FF9C0006"/>
      <name val="Calibri"/>
      <family val="2"/>
      <charset val="1"/>
    </font>
    <font>
      <b/>
      <sz val="8"/>
      <color rgb="FF0000FF"/>
      <name val="Arial"/>
      <family val="2"/>
      <charset val="204"/>
    </font>
    <font>
      <sz val="9"/>
      <color rgb="FF000000"/>
      <name val="Tahoma"/>
      <family val="2"/>
      <charset val="204"/>
    </font>
    <font>
      <b/>
      <sz val="8"/>
      <color rgb="FFFFFFFF"/>
      <name val="Arial"/>
      <family val="2"/>
      <charset val="204"/>
    </font>
    <font>
      <sz val="8"/>
      <color rgb="FF000000"/>
      <name val="Arial"/>
      <family val="2"/>
      <charset val="204"/>
    </font>
    <font>
      <sz val="8"/>
      <color rgb="FF000000"/>
      <name val="Calibri"/>
      <family val="2"/>
      <charset val="204"/>
    </font>
    <font>
      <b/>
      <sz val="8"/>
      <color rgb="FF000000"/>
      <name val="Arial"/>
      <family val="2"/>
      <charset val="204"/>
    </font>
    <font>
      <b/>
      <sz val="8"/>
      <color rgb="FF000000"/>
      <name val="Calibri"/>
      <family val="2"/>
      <charset val="204"/>
    </font>
    <font>
      <sz val="9"/>
      <color rgb="FFFFFFFF"/>
      <name val="Arial"/>
      <family val="2"/>
      <charset val="204"/>
    </font>
    <font>
      <sz val="11"/>
      <color rgb="FF000000"/>
      <name val="Calibri"/>
      <family val="2"/>
      <charset val="1"/>
    </font>
    <font>
      <b/>
      <sz val="9"/>
      <color rgb="FF000000"/>
      <name val="Arial"/>
      <family val="2"/>
      <charset val="204"/>
    </font>
    <font>
      <sz val="9"/>
      <name val="Arial"/>
      <family val="2"/>
      <charset val="204"/>
    </font>
    <font>
      <b/>
      <sz val="8"/>
      <color rgb="FF4D5361"/>
      <name val="Arial"/>
      <family val="2"/>
      <charset val="204"/>
    </font>
    <font>
      <u/>
      <sz val="10"/>
      <color rgb="FF0000FF"/>
      <name val="Arial"/>
      <family val="2"/>
      <charset val="204"/>
    </font>
    <font>
      <u/>
      <sz val="8"/>
      <color rgb="FF0000FF"/>
      <name val="Arial"/>
      <family val="2"/>
      <charset val="204"/>
    </font>
    <font>
      <sz val="8"/>
      <name val="Arial"/>
      <family val="2"/>
    </font>
    <font>
      <sz val="8"/>
      <name val="Calibri"/>
      <family val="2"/>
      <charset val="204"/>
    </font>
    <font>
      <sz val="10"/>
      <name val="Arial"/>
      <family val="2"/>
    </font>
  </fonts>
  <fills count="14">
    <fill>
      <patternFill patternType="none"/>
    </fill>
    <fill>
      <patternFill patternType="gray125"/>
    </fill>
    <fill>
      <patternFill patternType="solid">
        <fgColor rgb="FFE6E0EC"/>
        <bgColor rgb="FFF2F2F2"/>
      </patternFill>
    </fill>
    <fill>
      <patternFill patternType="solid">
        <fgColor rgb="FF8064A2"/>
        <bgColor rgb="FF808080"/>
      </patternFill>
    </fill>
    <fill>
      <patternFill patternType="solid">
        <fgColor rgb="FFC6EFCE"/>
        <bgColor rgb="FFC3DFF9"/>
      </patternFill>
    </fill>
    <fill>
      <patternFill patternType="solid">
        <fgColor rgb="FF9BBB59"/>
        <bgColor rgb="FF8AC181"/>
      </patternFill>
    </fill>
    <fill>
      <patternFill patternType="solid">
        <fgColor rgb="FFFFEB9C"/>
        <bgColor rgb="FFFFFFCC"/>
      </patternFill>
    </fill>
    <fill>
      <patternFill patternType="solid">
        <fgColor rgb="FFF79646"/>
        <bgColor rgb="FFFF8C00"/>
      </patternFill>
    </fill>
    <fill>
      <patternFill patternType="solid">
        <fgColor rgb="FFFFC7CE"/>
        <bgColor rgb="FFD8BFEB"/>
      </patternFill>
    </fill>
    <fill>
      <patternFill patternType="solid">
        <fgColor rgb="FFFFFFFF"/>
        <bgColor rgb="FFF2F2F2"/>
      </patternFill>
    </fill>
    <fill>
      <patternFill patternType="solid">
        <fgColor rgb="FF437381"/>
        <bgColor rgb="FF4A7EBB"/>
      </patternFill>
    </fill>
    <fill>
      <patternFill patternType="solid">
        <fgColor rgb="FF7CACBC"/>
        <bgColor rgb="FF8AC181"/>
      </patternFill>
    </fill>
    <fill>
      <patternFill patternType="solid">
        <fgColor rgb="FF33C533"/>
        <bgColor rgb="FF8AC181"/>
      </patternFill>
    </fill>
    <fill>
      <patternFill patternType="solid">
        <fgColor rgb="FFFFFF00"/>
        <bgColor rgb="FFFFF019"/>
      </patternFill>
    </fill>
  </fills>
  <borders count="25">
    <border>
      <left/>
      <right/>
      <top/>
      <bottom/>
      <diagonal/>
    </border>
    <border>
      <left style="thin">
        <color rgb="FF808080"/>
      </left>
      <right style="thin">
        <color rgb="FF808080"/>
      </right>
      <top style="thin">
        <color rgb="FF808080"/>
      </top>
      <bottom style="thin">
        <color rgb="FF808080"/>
      </bottom>
      <diagonal/>
    </border>
    <border>
      <left style="thin">
        <color rgb="FF333333"/>
      </left>
      <right style="thin">
        <color rgb="FF333333"/>
      </right>
      <top style="thin">
        <color rgb="FF333333"/>
      </top>
      <bottom style="thin">
        <color rgb="FF333333"/>
      </bottom>
      <diagonal/>
    </border>
    <border>
      <left style="thin">
        <color auto="1"/>
      </left>
      <right style="thin">
        <color rgb="FF595959"/>
      </right>
      <top style="thin">
        <color auto="1"/>
      </top>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auto="1"/>
      </left>
      <right/>
      <top/>
      <bottom/>
      <diagonal/>
    </border>
    <border>
      <left style="thin">
        <color rgb="FF595959"/>
      </left>
      <right/>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595959"/>
      </top>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808080"/>
      </bottom>
      <diagonal/>
    </border>
    <border>
      <left style="thin">
        <color rgb="FF808080"/>
      </left>
      <right style="thin">
        <color rgb="FF595959"/>
      </right>
      <top style="thin">
        <color rgb="FF808080"/>
      </top>
      <bottom style="thin">
        <color rgb="FF595959"/>
      </bottom>
      <diagonal/>
    </border>
    <border>
      <left style="thin">
        <color rgb="FF595959"/>
      </left>
      <right style="thin">
        <color rgb="FF595959"/>
      </right>
      <top style="thin">
        <color rgb="FF808080"/>
      </top>
      <bottom style="thin">
        <color rgb="FF595959"/>
      </bottom>
      <diagonal/>
    </border>
    <border>
      <left style="thin">
        <color rgb="FF595959"/>
      </left>
      <right style="thin">
        <color rgb="FF808080"/>
      </right>
      <top style="thin">
        <color rgb="FF808080"/>
      </top>
      <bottom style="thin">
        <color rgb="FF595959"/>
      </bottom>
      <diagonal/>
    </border>
    <border>
      <left style="thin">
        <color rgb="FF808080"/>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thin">
        <color rgb="FF808080"/>
      </right>
      <top style="thin">
        <color rgb="FF595959"/>
      </top>
      <bottom style="thin">
        <color rgb="FF595959"/>
      </bottom>
      <diagonal/>
    </border>
    <border>
      <left style="thin">
        <color rgb="FF808080"/>
      </left>
      <right style="thin">
        <color rgb="FF595959"/>
      </right>
      <top style="thin">
        <color rgb="FF595959"/>
      </top>
      <bottom style="thin">
        <color rgb="FF808080"/>
      </bottom>
      <diagonal/>
    </border>
    <border>
      <left style="thin">
        <color rgb="FF595959"/>
      </left>
      <right style="thin">
        <color rgb="FF595959"/>
      </right>
      <top style="thin">
        <color rgb="FF595959"/>
      </top>
      <bottom style="thin">
        <color rgb="FF808080"/>
      </bottom>
      <diagonal/>
    </border>
    <border>
      <left style="thin">
        <color rgb="FF595959"/>
      </left>
      <right style="thin">
        <color rgb="FF808080"/>
      </right>
      <top style="thin">
        <color rgb="FF595959"/>
      </top>
      <bottom style="thin">
        <color rgb="FF808080"/>
      </bottom>
      <diagonal/>
    </border>
  </borders>
  <cellStyleXfs count="17">
    <xf numFmtId="0" fontId="0" fillId="0" borderId="0"/>
    <xf numFmtId="9" fontId="36" fillId="0" borderId="0" applyBorder="0" applyProtection="0"/>
    <xf numFmtId="0" fontId="32" fillId="0" borderId="0" applyBorder="0" applyProtection="0"/>
    <xf numFmtId="0" fontId="1" fillId="2" borderId="0" applyBorder="0" applyProtection="0"/>
    <xf numFmtId="0" fontId="2" fillId="0" borderId="0"/>
    <xf numFmtId="0" fontId="2" fillId="0" borderId="0"/>
    <xf numFmtId="0" fontId="3" fillId="0" borderId="0"/>
    <xf numFmtId="0" fontId="3" fillId="0" borderId="0"/>
    <xf numFmtId="0" fontId="2" fillId="0" borderId="0"/>
    <xf numFmtId="0" fontId="3" fillId="0" borderId="0"/>
    <xf numFmtId="0" fontId="7" fillId="3" borderId="0" applyBorder="0" applyProtection="0"/>
    <xf numFmtId="0" fontId="14" fillId="4" borderId="0" applyBorder="0" applyProtection="0"/>
    <xf numFmtId="0" fontId="7" fillId="5" borderId="0" applyBorder="0" applyProtection="0"/>
    <xf numFmtId="0" fontId="16" fillId="6" borderId="0" applyBorder="0" applyProtection="0"/>
    <xf numFmtId="0" fontId="7" fillId="7" borderId="0" applyBorder="0" applyProtection="0"/>
    <xf numFmtId="0" fontId="19" fillId="8" borderId="0" applyBorder="0" applyProtection="0"/>
    <xf numFmtId="0" fontId="28" fillId="2" borderId="0" applyBorder="0" applyProtection="0"/>
  </cellStyleXfs>
  <cellXfs count="142">
    <xf numFmtId="0" fontId="0" fillId="0" borderId="0" xfId="0"/>
    <xf numFmtId="0" fontId="4" fillId="0" borderId="0" xfId="6" applyFont="1" applyAlignment="1">
      <alignment vertical="center"/>
    </xf>
    <xf numFmtId="0" fontId="5" fillId="9" borderId="1" xfId="5" applyFont="1" applyFill="1" applyBorder="1" applyAlignment="1">
      <alignment horizontal="center" vertical="center" wrapText="1" shrinkToFit="1"/>
    </xf>
    <xf numFmtId="0" fontId="5" fillId="9" borderId="1" xfId="5" applyFont="1" applyFill="1" applyBorder="1" applyAlignment="1">
      <alignment vertical="center" wrapText="1" shrinkToFit="1"/>
    </xf>
    <xf numFmtId="0" fontId="6" fillId="9" borderId="0" xfId="0" applyFont="1" applyFill="1" applyAlignment="1">
      <alignment vertical="center" wrapText="1"/>
    </xf>
    <xf numFmtId="0" fontId="5" fillId="9" borderId="2" xfId="5" applyFont="1" applyFill="1" applyBorder="1" applyAlignment="1">
      <alignment horizontal="center" vertical="center" wrapText="1" shrinkToFit="1"/>
    </xf>
    <xf numFmtId="0" fontId="8" fillId="10" borderId="3" xfId="10" applyFont="1" applyFill="1" applyBorder="1" applyAlignment="1" applyProtection="1">
      <alignment horizontal="center" vertical="center" wrapText="1"/>
    </xf>
    <xf numFmtId="0" fontId="4" fillId="0" borderId="5" xfId="6" applyFont="1" applyBorder="1" applyAlignment="1">
      <alignment horizontal="center" vertical="center"/>
    </xf>
    <xf numFmtId="0" fontId="4" fillId="0" borderId="6" xfId="6" applyFont="1" applyBorder="1" applyAlignment="1">
      <alignment horizontal="center" vertical="center"/>
    </xf>
    <xf numFmtId="0" fontId="4" fillId="0" borderId="0" xfId="3" applyFont="1" applyFill="1" applyBorder="1" applyAlignment="1" applyProtection="1">
      <alignment vertical="center" wrapText="1"/>
    </xf>
    <xf numFmtId="0" fontId="8" fillId="10" borderId="1" xfId="10" applyFont="1" applyFill="1" applyBorder="1" applyAlignment="1" applyProtection="1">
      <alignment horizontal="center" vertical="center" wrapText="1"/>
    </xf>
    <xf numFmtId="0" fontId="9" fillId="0" borderId="0" xfId="0" applyFont="1" applyAlignment="1">
      <alignment vertical="center"/>
    </xf>
    <xf numFmtId="0" fontId="10" fillId="11" borderId="1" xfId="3" applyFont="1" applyFill="1" applyBorder="1" applyAlignment="1" applyProtection="1">
      <alignment horizontal="left" vertical="center" wrapText="1" shrinkToFit="1"/>
    </xf>
    <xf numFmtId="0" fontId="4" fillId="0" borderId="4" xfId="0" applyFont="1" applyBorder="1" applyAlignment="1">
      <alignment horizontal="center" vertical="center"/>
    </xf>
    <xf numFmtId="0" fontId="4" fillId="0" borderId="4" xfId="3" applyFont="1" applyFill="1" applyBorder="1" applyAlignment="1" applyProtection="1">
      <alignment vertical="center" wrapText="1"/>
    </xf>
    <xf numFmtId="49" fontId="4" fillId="0" borderId="5" xfId="9" applyNumberFormat="1" applyFont="1" applyBorder="1" applyAlignment="1">
      <alignment horizontal="center" vertical="center"/>
    </xf>
    <xf numFmtId="0" fontId="11" fillId="0" borderId="5" xfId="3" applyFont="1" applyFill="1" applyBorder="1" applyAlignment="1" applyProtection="1">
      <alignment vertical="center" wrapText="1"/>
    </xf>
    <xf numFmtId="0" fontId="4" fillId="0" borderId="5" xfId="3" applyFont="1" applyFill="1" applyBorder="1" applyAlignment="1" applyProtection="1">
      <alignment vertical="center" wrapText="1"/>
    </xf>
    <xf numFmtId="0" fontId="12" fillId="0" borderId="5" xfId="0" applyFont="1" applyBorder="1" applyAlignment="1">
      <alignment vertical="center"/>
    </xf>
    <xf numFmtId="0" fontId="12" fillId="0" borderId="6" xfId="0" applyFont="1" applyBorder="1" applyAlignment="1">
      <alignment vertical="center"/>
    </xf>
    <xf numFmtId="49" fontId="4" fillId="0" borderId="0" xfId="9" applyNumberFormat="1" applyFont="1" applyAlignment="1">
      <alignment horizontal="left" vertical="center"/>
    </xf>
    <xf numFmtId="0" fontId="4" fillId="0" borderId="0" xfId="0" applyFont="1" applyAlignment="1">
      <alignment vertical="center"/>
    </xf>
    <xf numFmtId="0" fontId="4" fillId="0" borderId="1" xfId="6" applyFont="1" applyBorder="1" applyAlignment="1" applyProtection="1">
      <alignment horizontal="center" vertical="center"/>
      <protection locked="0"/>
    </xf>
    <xf numFmtId="0" fontId="13" fillId="4" borderId="1" xfId="11" applyFont="1" applyBorder="1" applyAlignment="1" applyProtection="1">
      <alignment horizontal="center" vertical="center"/>
    </xf>
    <xf numFmtId="0" fontId="13" fillId="5" borderId="1" xfId="12" applyFont="1" applyBorder="1" applyAlignment="1" applyProtection="1">
      <alignment horizontal="center" vertical="center"/>
    </xf>
    <xf numFmtId="0" fontId="15" fillId="6" borderId="1" xfId="13" applyFont="1" applyBorder="1" applyAlignment="1" applyProtection="1">
      <alignment horizontal="center" vertical="center"/>
    </xf>
    <xf numFmtId="0" fontId="17" fillId="7" borderId="1" xfId="14" applyFont="1" applyBorder="1" applyAlignment="1" applyProtection="1">
      <alignment horizontal="center" vertical="center"/>
    </xf>
    <xf numFmtId="0" fontId="18" fillId="8" borderId="4" xfId="15" applyFont="1" applyBorder="1" applyAlignment="1" applyProtection="1">
      <alignment horizontal="center" vertical="center"/>
    </xf>
    <xf numFmtId="0" fontId="13" fillId="4" borderId="4" xfId="11" applyFont="1" applyBorder="1" applyAlignment="1" applyProtection="1">
      <alignment horizontal="center" vertical="center"/>
    </xf>
    <xf numFmtId="0" fontId="18" fillId="8" borderId="1" xfId="15" applyFont="1" applyBorder="1" applyAlignment="1" applyProtection="1">
      <alignment horizontal="center" vertical="center"/>
    </xf>
    <xf numFmtId="0" fontId="11" fillId="0" borderId="0" xfId="0" applyFont="1" applyAlignment="1">
      <alignment vertical="center"/>
    </xf>
    <xf numFmtId="0" fontId="12" fillId="0" borderId="0" xfId="6" applyFont="1" applyAlignment="1">
      <alignment vertical="center"/>
    </xf>
    <xf numFmtId="164" fontId="4" fillId="0" borderId="0" xfId="6" applyNumberFormat="1" applyFont="1" applyAlignment="1">
      <alignment horizontal="left" vertical="center"/>
    </xf>
    <xf numFmtId="0" fontId="11" fillId="0" borderId="0" xfId="6" applyFont="1" applyAlignment="1">
      <alignment vertical="center"/>
    </xf>
    <xf numFmtId="0" fontId="20" fillId="0" borderId="0" xfId="6" applyFont="1" applyAlignment="1">
      <alignment vertical="center"/>
    </xf>
    <xf numFmtId="0" fontId="4" fillId="0" borderId="0" xfId="0" applyFont="1"/>
    <xf numFmtId="0" fontId="8" fillId="10" borderId="1" xfId="5" applyFont="1" applyFill="1" applyBorder="1" applyAlignment="1">
      <alignment horizontal="center" vertical="center" wrapText="1" shrinkToFit="1"/>
    </xf>
    <xf numFmtId="0" fontId="11" fillId="10" borderId="1" xfId="5" applyFont="1" applyFill="1" applyBorder="1" applyAlignment="1">
      <alignment vertical="center" wrapText="1" shrinkToFit="1"/>
    </xf>
    <xf numFmtId="0" fontId="4" fillId="0" borderId="0" xfId="0" applyFont="1" applyAlignment="1">
      <alignment vertical="center" wrapText="1"/>
    </xf>
    <xf numFmtId="0" fontId="22" fillId="10" borderId="1" xfId="5" applyFont="1" applyFill="1" applyBorder="1" applyAlignment="1">
      <alignment horizontal="center" vertical="center" wrapText="1" shrinkToFit="1"/>
    </xf>
    <xf numFmtId="0" fontId="11" fillId="0" borderId="1" xfId="5" applyFont="1" applyBorder="1" applyAlignment="1">
      <alignment vertical="center" wrapText="1" shrinkToFit="1"/>
    </xf>
    <xf numFmtId="0" fontId="23" fillId="0" borderId="1" xfId="5" applyFont="1" applyBorder="1" applyAlignment="1">
      <alignment horizontal="center" vertical="center" wrapText="1" shrinkToFit="1"/>
    </xf>
    <xf numFmtId="0" fontId="24" fillId="0" borderId="1" xfId="0" applyFont="1" applyBorder="1" applyAlignment="1">
      <alignment horizontal="center" vertical="center"/>
    </xf>
    <xf numFmtId="164" fontId="23" fillId="0" borderId="1" xfId="5" applyNumberFormat="1" applyFont="1" applyBorder="1" applyAlignment="1">
      <alignment horizontal="center" vertical="center" wrapText="1" shrinkToFit="1"/>
    </xf>
    <xf numFmtId="0" fontId="4" fillId="0" borderId="1" xfId="0" applyFont="1" applyBorder="1" applyAlignment="1">
      <alignment horizontal="center" vertical="center"/>
    </xf>
    <xf numFmtId="0" fontId="24" fillId="0" borderId="0" xfId="0" applyFont="1" applyAlignment="1">
      <alignment vertical="center"/>
    </xf>
    <xf numFmtId="0" fontId="23" fillId="12" borderId="1" xfId="8" applyFont="1" applyFill="1" applyBorder="1" applyAlignment="1">
      <alignment horizontal="center" vertical="center" wrapText="1" shrinkToFit="1"/>
    </xf>
    <xf numFmtId="0" fontId="11" fillId="0" borderId="1" xfId="5" applyFont="1" applyBorder="1" applyAlignment="1">
      <alignment horizontal="left" vertical="center" wrapText="1" shrinkToFit="1"/>
    </xf>
    <xf numFmtId="0" fontId="25" fillId="0" borderId="1" xfId="8" applyFont="1" applyBorder="1" applyAlignment="1">
      <alignment horizontal="center" vertical="center" wrapText="1" shrinkToFit="1"/>
    </xf>
    <xf numFmtId="0" fontId="25" fillId="0" borderId="1" xfId="5" applyFont="1" applyBorder="1" applyAlignment="1">
      <alignment horizontal="center" vertical="center" wrapText="1" shrinkToFit="1"/>
    </xf>
    <xf numFmtId="0" fontId="26" fillId="0" borderId="1" xfId="5" applyFont="1" applyBorder="1" applyAlignment="1">
      <alignment horizontal="center" vertical="center" wrapText="1" shrinkToFit="1"/>
    </xf>
    <xf numFmtId="0" fontId="24" fillId="0" borderId="1" xfId="5" applyFont="1" applyBorder="1" applyAlignment="1">
      <alignment horizontal="center" vertical="center" wrapText="1" shrinkToFit="1"/>
    </xf>
    <xf numFmtId="0" fontId="23" fillId="9" borderId="1" xfId="5" applyFont="1" applyFill="1" applyBorder="1" applyAlignment="1">
      <alignment horizontal="center" vertical="center" wrapText="1" shrinkToFit="1"/>
    </xf>
    <xf numFmtId="0" fontId="11" fillId="0" borderId="8" xfId="5" applyFont="1" applyBorder="1" applyAlignment="1">
      <alignment vertical="center" wrapText="1" shrinkToFit="1"/>
    </xf>
    <xf numFmtId="0" fontId="23" fillId="0" borderId="0" xfId="5" applyFont="1" applyAlignment="1">
      <alignment horizontal="center" vertical="center" wrapText="1" shrinkToFit="1"/>
    </xf>
    <xf numFmtId="0" fontId="8" fillId="10" borderId="9" xfId="5" applyFont="1" applyFill="1" applyBorder="1" applyAlignment="1">
      <alignment horizontal="center" vertical="center" wrapText="1" shrinkToFit="1"/>
    </xf>
    <xf numFmtId="0" fontId="11" fillId="10" borderId="10" xfId="5" applyFont="1" applyFill="1" applyBorder="1" applyAlignment="1">
      <alignment vertical="center" wrapText="1" shrinkToFit="1"/>
    </xf>
    <xf numFmtId="0" fontId="11" fillId="10" borderId="11" xfId="5" applyFont="1" applyFill="1" applyBorder="1" applyAlignment="1">
      <alignment vertical="center" wrapText="1" shrinkToFit="1"/>
    </xf>
    <xf numFmtId="0" fontId="8" fillId="10" borderId="1" xfId="5" applyFont="1" applyFill="1" applyBorder="1" applyAlignment="1">
      <alignment vertical="center" wrapText="1" shrinkToFit="1"/>
    </xf>
    <xf numFmtId="0" fontId="11" fillId="0" borderId="1" xfId="9" applyFont="1" applyBorder="1" applyAlignment="1">
      <alignment vertical="center"/>
    </xf>
    <xf numFmtId="9" fontId="25" fillId="0" borderId="1" xfId="1" applyFont="1" applyBorder="1" applyAlignment="1" applyProtection="1">
      <alignment horizontal="center" vertical="center" wrapText="1" shrinkToFit="1"/>
    </xf>
    <xf numFmtId="0" fontId="4" fillId="9" borderId="0" xfId="0" applyFont="1" applyFill="1" applyAlignment="1">
      <alignment vertical="center"/>
    </xf>
    <xf numFmtId="0" fontId="4" fillId="0" borderId="0" xfId="0" applyFont="1" applyAlignment="1">
      <alignment wrapText="1"/>
    </xf>
    <xf numFmtId="0" fontId="8" fillId="10" borderId="1" xfId="10" applyFont="1" applyFill="1" applyBorder="1" applyAlignment="1" applyProtection="1">
      <alignment horizontal="right" vertical="center" wrapText="1"/>
    </xf>
    <xf numFmtId="0" fontId="25" fillId="11" borderId="4" xfId="16" applyFont="1" applyFill="1" applyBorder="1" applyAlignment="1" applyProtection="1">
      <alignment horizontal="right" vertical="center" wrapText="1" shrinkToFit="1"/>
    </xf>
    <xf numFmtId="0" fontId="25" fillId="11" borderId="6" xfId="16" applyFont="1" applyFill="1" applyBorder="1" applyAlignment="1" applyProtection="1">
      <alignment horizontal="right" vertical="center" wrapText="1" shrinkToFit="1"/>
    </xf>
    <xf numFmtId="0" fontId="8" fillId="10" borderId="1" xfId="16" applyFont="1" applyFill="1" applyBorder="1" applyAlignment="1" applyProtection="1">
      <alignment horizontal="center" vertical="center" wrapText="1"/>
    </xf>
    <xf numFmtId="0" fontId="29" fillId="13" borderId="1" xfId="16" applyFont="1" applyFill="1" applyBorder="1" applyAlignment="1" applyProtection="1">
      <alignment horizontal="center" vertical="center" wrapText="1"/>
    </xf>
    <xf numFmtId="0" fontId="30" fillId="0" borderId="0" xfId="0" applyFont="1" applyAlignment="1">
      <alignment vertical="center"/>
    </xf>
    <xf numFmtId="0" fontId="31" fillId="11" borderId="1" xfId="0" applyFont="1" applyFill="1" applyBorder="1" applyAlignment="1">
      <alignment horizontal="left" vertical="center"/>
    </xf>
    <xf numFmtId="0" fontId="4" fillId="0" borderId="1" xfId="0" applyFont="1" applyBorder="1" applyAlignment="1">
      <alignment vertical="center" wrapText="1"/>
    </xf>
    <xf numFmtId="0" fontId="33" fillId="0" borderId="1" xfId="2" applyFont="1" applyBorder="1" applyAlignment="1" applyProtection="1">
      <alignment horizontal="left" vertical="center" wrapText="1"/>
    </xf>
    <xf numFmtId="0" fontId="4" fillId="0" borderId="1" xfId="6" applyFont="1" applyBorder="1" applyAlignment="1">
      <alignment horizontal="left" vertical="top" wrapText="1"/>
    </xf>
    <xf numFmtId="0" fontId="8" fillId="10" borderId="1" xfId="0" applyFont="1" applyFill="1" applyBorder="1" applyAlignment="1">
      <alignment horizontal="center" vertical="center"/>
    </xf>
    <xf numFmtId="0" fontId="8" fillId="10" borderId="1" xfId="7" applyFont="1" applyFill="1" applyBorder="1" applyAlignment="1">
      <alignment horizontal="center" vertical="center" wrapText="1" shrinkToFit="1"/>
    </xf>
    <xf numFmtId="0" fontId="8" fillId="10" borderId="4" xfId="7" applyFont="1" applyFill="1" applyBorder="1" applyAlignment="1">
      <alignment horizontal="center" vertical="center" wrapText="1" shrinkToFit="1"/>
    </xf>
    <xf numFmtId="0" fontId="4" fillId="0" borderId="4" xfId="7" applyFont="1" applyBorder="1" applyAlignment="1">
      <alignment horizontal="center" vertical="center" wrapText="1" shrinkToFit="1"/>
    </xf>
    <xf numFmtId="0" fontId="4" fillId="0" borderId="12" xfId="0" applyFont="1" applyBorder="1" applyAlignment="1">
      <alignment horizontal="center" vertical="center"/>
    </xf>
    <xf numFmtId="0" fontId="33" fillId="0" borderId="12" xfId="2" applyFont="1" applyBorder="1" applyAlignment="1" applyProtection="1">
      <alignment horizontal="center" vertical="center"/>
    </xf>
    <xf numFmtId="0" fontId="4" fillId="0" borderId="5" xfId="7" applyFont="1" applyBorder="1" applyAlignment="1">
      <alignment horizontal="center" vertical="center" wrapText="1" shrinkToFit="1"/>
    </xf>
    <xf numFmtId="0" fontId="4" fillId="0" borderId="5" xfId="0" applyFont="1" applyBorder="1" applyAlignment="1">
      <alignment horizontal="center" vertical="center"/>
    </xf>
    <xf numFmtId="0" fontId="33" fillId="0" borderId="5" xfId="2" applyFont="1" applyBorder="1" applyAlignment="1" applyProtection="1">
      <alignment horizontal="center" vertical="center"/>
    </xf>
    <xf numFmtId="0" fontId="4" fillId="0" borderId="5" xfId="7" applyFont="1" applyBorder="1" applyAlignment="1">
      <alignment horizontal="center" vertical="center" wrapText="1"/>
    </xf>
    <xf numFmtId="0" fontId="35" fillId="0" borderId="4" xfId="7" applyFont="1" applyBorder="1" applyAlignment="1">
      <alignment horizontal="center" vertical="center" wrapText="1"/>
    </xf>
    <xf numFmtId="0" fontId="4" fillId="0" borderId="5" xfId="0" applyFont="1" applyBorder="1" applyAlignment="1">
      <alignment vertical="center"/>
    </xf>
    <xf numFmtId="0" fontId="4" fillId="0" borderId="6" xfId="7" applyFont="1" applyBorder="1" applyAlignment="1">
      <alignment horizontal="center" vertical="center" wrapText="1" shrinkToFit="1"/>
    </xf>
    <xf numFmtId="0" fontId="4" fillId="0" borderId="6" xfId="0" applyFont="1" applyBorder="1" applyAlignment="1">
      <alignment horizontal="center" vertical="center"/>
    </xf>
    <xf numFmtId="0" fontId="4" fillId="0" borderId="0" xfId="7" applyFont="1" applyAlignment="1">
      <alignment horizontal="center" vertical="center" wrapText="1" shrinkToFit="1"/>
    </xf>
    <xf numFmtId="0" fontId="25" fillId="10" borderId="17" xfId="0" applyFont="1" applyFill="1" applyBorder="1" applyAlignment="1">
      <alignment horizontal="center" vertical="center"/>
    </xf>
    <xf numFmtId="0" fontId="25" fillId="10" borderId="18" xfId="0" applyFont="1" applyFill="1" applyBorder="1" applyAlignment="1">
      <alignment horizontal="center" vertical="center"/>
    </xf>
    <xf numFmtId="0" fontId="4" fillId="0" borderId="19" xfId="7" applyFont="1" applyBorder="1" applyAlignment="1">
      <alignment horizontal="center" vertical="center" wrapText="1" shrinkToFit="1"/>
    </xf>
    <xf numFmtId="0" fontId="4" fillId="0" borderId="20" xfId="7" applyFont="1" applyBorder="1" applyAlignment="1">
      <alignment horizontal="center" vertical="center" wrapText="1" shrinkToFit="1"/>
    </xf>
    <xf numFmtId="0" fontId="4" fillId="0" borderId="21" xfId="7" applyFont="1" applyBorder="1" applyAlignment="1">
      <alignment horizontal="center" vertical="center" wrapText="1" shrinkToFit="1"/>
    </xf>
    <xf numFmtId="0" fontId="25" fillId="10" borderId="20" xfId="0" applyFont="1" applyFill="1" applyBorder="1" applyAlignment="1">
      <alignment horizontal="center" vertical="center"/>
    </xf>
    <xf numFmtId="0" fontId="25" fillId="10" borderId="21" xfId="0" applyFont="1" applyFill="1" applyBorder="1" applyAlignment="1">
      <alignment horizontal="center" vertical="center"/>
    </xf>
    <xf numFmtId="0" fontId="10" fillId="11" borderId="19" xfId="0" applyFont="1" applyFill="1" applyBorder="1" applyAlignment="1">
      <alignment horizontal="center" vertical="center"/>
    </xf>
    <xf numFmtId="0" fontId="10" fillId="11" borderId="20" xfId="0" applyFont="1" applyFill="1" applyBorder="1" applyAlignment="1">
      <alignment horizontal="center" vertical="center"/>
    </xf>
    <xf numFmtId="0" fontId="10" fillId="11" borderId="21" xfId="0" applyFont="1" applyFill="1" applyBorder="1" applyAlignment="1">
      <alignment horizontal="center" vertical="center"/>
    </xf>
    <xf numFmtId="0" fontId="23" fillId="0" borderId="19" xfId="0" applyFont="1" applyBorder="1" applyAlignment="1">
      <alignment horizontal="center" vertical="center" wrapText="1" shrinkToFit="1"/>
    </xf>
    <xf numFmtId="0" fontId="23" fillId="0" borderId="20" xfId="0" applyFont="1" applyBorder="1" applyAlignment="1">
      <alignment horizontal="center" vertical="center" wrapText="1" shrinkToFit="1"/>
    </xf>
    <xf numFmtId="164" fontId="23" fillId="0" borderId="20" xfId="0" applyNumberFormat="1" applyFont="1" applyBorder="1" applyAlignment="1">
      <alignment horizontal="center" vertical="center" wrapText="1" shrinkToFit="1"/>
    </xf>
    <xf numFmtId="0" fontId="23" fillId="12" borderId="21" xfId="8" applyFont="1" applyFill="1" applyBorder="1" applyAlignment="1">
      <alignment horizontal="center" vertical="center" wrapText="1" shrinkToFit="1"/>
    </xf>
    <xf numFmtId="0" fontId="23" fillId="0" borderId="22" xfId="0" applyFont="1" applyBorder="1" applyAlignment="1">
      <alignment horizontal="center" vertical="center" wrapText="1" shrinkToFit="1"/>
    </xf>
    <xf numFmtId="0" fontId="23" fillId="0" borderId="23" xfId="0" applyFont="1" applyBorder="1" applyAlignment="1">
      <alignment horizontal="center" vertical="center" wrapText="1" shrinkToFit="1"/>
    </xf>
    <xf numFmtId="164" fontId="23" fillId="0" borderId="23" xfId="0" applyNumberFormat="1" applyFont="1" applyBorder="1" applyAlignment="1">
      <alignment horizontal="center" vertical="center" wrapText="1" shrinkToFit="1"/>
    </xf>
    <xf numFmtId="0" fontId="23" fillId="12" borderId="24" xfId="8" applyFont="1" applyFill="1" applyBorder="1" applyAlignment="1">
      <alignment horizontal="center" vertical="center" wrapText="1" shrinkToFit="1"/>
    </xf>
    <xf numFmtId="0" fontId="23" fillId="0" borderId="0" xfId="0" applyFont="1" applyAlignment="1">
      <alignment horizontal="center" vertical="center" wrapText="1" shrinkToFit="1"/>
    </xf>
    <xf numFmtId="0" fontId="34" fillId="0" borderId="4" xfId="0" applyFont="1" applyBorder="1" applyAlignment="1">
      <alignment horizontal="center" vertical="center" wrapText="1"/>
    </xf>
    <xf numFmtId="0" fontId="4" fillId="0" borderId="0" xfId="0" applyFont="1" applyAlignment="1">
      <alignment horizontal="center" vertical="center"/>
    </xf>
    <xf numFmtId="0" fontId="34" fillId="0" borderId="0" xfId="0" applyFont="1" applyAlignment="1">
      <alignment horizontal="center" vertical="center"/>
    </xf>
    <xf numFmtId="0" fontId="32" fillId="0" borderId="0" xfId="2"/>
    <xf numFmtId="0" fontId="4" fillId="0" borderId="0" xfId="0" applyFont="1" applyAlignment="1">
      <alignment horizontal="center"/>
    </xf>
    <xf numFmtId="0" fontId="4" fillId="0" borderId="0" xfId="0" applyFont="1" applyAlignment="1">
      <alignment horizontal="center" vertical="top"/>
    </xf>
    <xf numFmtId="49" fontId="4" fillId="0" borderId="1" xfId="9" applyNumberFormat="1" applyFont="1" applyBorder="1" applyAlignment="1">
      <alignment horizontal="left" vertical="center" wrapText="1"/>
    </xf>
    <xf numFmtId="0" fontId="8" fillId="10" borderId="1" xfId="10" applyFont="1" applyFill="1" applyBorder="1" applyAlignment="1" applyProtection="1">
      <alignment horizontal="center" vertical="center" wrapText="1"/>
    </xf>
    <xf numFmtId="0" fontId="4" fillId="0" borderId="1" xfId="6" applyFont="1" applyBorder="1" applyAlignment="1">
      <alignment horizontal="center" vertical="center"/>
    </xf>
    <xf numFmtId="49" fontId="4" fillId="0" borderId="1" xfId="9" applyNumberFormat="1" applyFont="1" applyBorder="1" applyAlignment="1">
      <alignment horizontal="left" vertical="center"/>
    </xf>
    <xf numFmtId="0" fontId="10" fillId="11" borderId="7" xfId="3" applyFont="1" applyFill="1" applyBorder="1" applyAlignment="1" applyProtection="1">
      <alignment horizontal="left" vertical="center" wrapText="1" shrinkToFit="1"/>
    </xf>
    <xf numFmtId="0" fontId="4" fillId="0" borderId="4" xfId="6" applyFont="1" applyBorder="1" applyAlignment="1">
      <alignment horizontal="center" vertical="center"/>
    </xf>
    <xf numFmtId="0" fontId="4" fillId="0" borderId="5" xfId="6" applyFont="1" applyBorder="1" applyAlignment="1">
      <alignment horizontal="center" vertical="center"/>
    </xf>
    <xf numFmtId="0" fontId="4" fillId="0" borderId="6" xfId="6" applyFont="1" applyBorder="1" applyAlignment="1">
      <alignment horizontal="center" vertical="center"/>
    </xf>
    <xf numFmtId="0" fontId="11" fillId="9" borderId="11" xfId="10" applyFont="1" applyFill="1" applyBorder="1" applyAlignment="1" applyProtection="1">
      <alignment horizontal="center" vertical="center" wrapText="1"/>
    </xf>
    <xf numFmtId="10" fontId="11" fillId="9" borderId="1" xfId="10" applyNumberFormat="1" applyFont="1" applyFill="1" applyBorder="1" applyAlignment="1" applyProtection="1">
      <alignment horizontal="center" vertical="center" wrapText="1"/>
    </xf>
    <xf numFmtId="0" fontId="11" fillId="9" borderId="1" xfId="10" applyFont="1" applyFill="1" applyBorder="1" applyAlignment="1" applyProtection="1">
      <alignment horizontal="center" vertical="center" wrapText="1"/>
    </xf>
    <xf numFmtId="0" fontId="4" fillId="9" borderId="1" xfId="10" applyFont="1" applyFill="1" applyBorder="1" applyAlignment="1" applyProtection="1">
      <alignment horizontal="center" vertical="center" wrapText="1"/>
    </xf>
    <xf numFmtId="0" fontId="4" fillId="9" borderId="9" xfId="10" applyFont="1" applyFill="1" applyBorder="1" applyAlignment="1" applyProtection="1">
      <alignment horizontal="center" vertical="center" wrapText="1"/>
    </xf>
    <xf numFmtId="165" fontId="27" fillId="10" borderId="1" xfId="10" applyNumberFormat="1" applyFont="1" applyFill="1" applyBorder="1" applyAlignment="1" applyProtection="1">
      <alignment horizontal="center" vertical="center" wrapText="1"/>
    </xf>
    <xf numFmtId="166" fontId="27" fillId="10" borderId="1" xfId="10" applyNumberFormat="1" applyFont="1" applyFill="1" applyBorder="1" applyAlignment="1" applyProtection="1">
      <alignment horizontal="center" vertical="center" wrapText="1"/>
    </xf>
    <xf numFmtId="0" fontId="27" fillId="10" borderId="1" xfId="10" applyFont="1" applyFill="1" applyBorder="1" applyAlignment="1" applyProtection="1">
      <alignment horizontal="center" vertical="center" wrapText="1"/>
    </xf>
    <xf numFmtId="0" fontId="4" fillId="0" borderId="4" xfId="7" applyFont="1" applyBorder="1" applyAlignment="1">
      <alignment horizontal="center" vertical="center" wrapText="1"/>
    </xf>
    <xf numFmtId="0" fontId="11" fillId="0" borderId="6" xfId="7" applyFont="1" applyBorder="1" applyAlignment="1">
      <alignment horizontal="center" vertical="center" wrapText="1" shrinkToFit="1"/>
    </xf>
    <xf numFmtId="0" fontId="8" fillId="10" borderId="16" xfId="0" applyFont="1" applyFill="1" applyBorder="1" applyAlignment="1">
      <alignment horizontal="center" vertical="center"/>
    </xf>
    <xf numFmtId="0" fontId="8" fillId="10" borderId="19" xfId="0" applyFont="1" applyFill="1" applyBorder="1" applyAlignment="1">
      <alignment horizontal="center" vertical="center"/>
    </xf>
    <xf numFmtId="0" fontId="11" fillId="0" borderId="9" xfId="7" applyFont="1" applyBorder="1" applyAlignment="1">
      <alignment horizontal="center" vertical="center" wrapText="1" shrinkToFit="1"/>
    </xf>
    <xf numFmtId="0" fontId="12" fillId="0" borderId="13" xfId="7" applyFont="1" applyBorder="1" applyAlignment="1">
      <alignment horizontal="left" vertical="center" wrapText="1"/>
    </xf>
    <xf numFmtId="0" fontId="12" fillId="0" borderId="14" xfId="7" applyFont="1" applyBorder="1" applyAlignment="1">
      <alignment horizontal="center" vertical="center" wrapText="1"/>
    </xf>
    <xf numFmtId="0" fontId="12" fillId="0" borderId="14" xfId="7" applyFont="1" applyBorder="1" applyAlignment="1">
      <alignment horizontal="left" vertical="center" wrapText="1"/>
    </xf>
    <xf numFmtId="0" fontId="12" fillId="0" borderId="15" xfId="7" applyFont="1" applyBorder="1" applyAlignment="1">
      <alignment horizontal="left" vertical="center" wrapText="1"/>
    </xf>
    <xf numFmtId="0" fontId="8" fillId="10" borderId="1" xfId="7" applyFont="1" applyFill="1" applyBorder="1" applyAlignment="1">
      <alignment horizontal="center" vertical="center" wrapText="1" shrinkToFit="1"/>
    </xf>
    <xf numFmtId="0" fontId="11" fillId="0" borderId="1" xfId="7" applyFont="1" applyBorder="1" applyAlignment="1">
      <alignment horizontal="center" vertical="center" wrapText="1" shrinkToFit="1"/>
    </xf>
    <xf numFmtId="0" fontId="12" fillId="0" borderId="5" xfId="7" applyFont="1" applyBorder="1" applyAlignment="1">
      <alignment horizontal="left" vertical="center" wrapText="1"/>
    </xf>
    <xf numFmtId="0" fontId="32" fillId="0" borderId="1" xfId="2" applyBorder="1" applyProtection="1"/>
  </cellXfs>
  <cellStyles count="17">
    <cellStyle name="20% - Accent4 2" xfId="3" xr:uid="{00000000-0005-0000-0000-000006000000}"/>
    <cellStyle name="Excel Built-in 20% - Accent4" xfId="16" xr:uid="{00000000-0005-0000-0000-000013000000}"/>
    <cellStyle name="Excel Built-in Accent3" xfId="12" xr:uid="{00000000-0005-0000-0000-00000F000000}"/>
    <cellStyle name="Excel Built-in Accent4" xfId="10" xr:uid="{00000000-0005-0000-0000-00000D000000}"/>
    <cellStyle name="Excel Built-in Accent6" xfId="14" xr:uid="{00000000-0005-0000-0000-000011000000}"/>
    <cellStyle name="Excel Built-in Bad" xfId="15" xr:uid="{00000000-0005-0000-0000-000012000000}"/>
    <cellStyle name="Excel Built-in Good" xfId="11" xr:uid="{00000000-0005-0000-0000-00000E000000}"/>
    <cellStyle name="Excel Built-in Neutral" xfId="13" xr:uid="{00000000-0005-0000-0000-000010000000}"/>
    <cellStyle name="Hyperlink" xfId="2" builtinId="8"/>
    <cellStyle name="Normal" xfId="0" builtinId="0"/>
    <cellStyle name="Normal 2" xfId="4" xr:uid="{00000000-0005-0000-0000-000007000000}"/>
    <cellStyle name="Normal 3 2" xfId="5" xr:uid="{00000000-0005-0000-0000-000008000000}"/>
    <cellStyle name="Normal_NRA_Acceptance Sheet" xfId="6" xr:uid="{00000000-0005-0000-0000-000009000000}"/>
    <cellStyle name="Normal_QA Example - Acceptance Sheet" xfId="7" xr:uid="{00000000-0005-0000-0000-00000A000000}"/>
    <cellStyle name="Normal_Sheet1 4" xfId="8" xr:uid="{00000000-0005-0000-0000-00000B000000}"/>
    <cellStyle name="Normal_Sheet2" xfId="9" xr:uid="{00000000-0005-0000-0000-00000C000000}"/>
    <cellStyle name="Percent" xfId="1" builtinId="5"/>
  </cellStyles>
  <dxfs count="289">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865600"/>
      </font>
      <fill>
        <patternFill>
          <bgColor rgb="FFFFEB9C"/>
        </patternFill>
      </fill>
      <border diagonalUp="0" diagonalDown="0">
        <left style="thin">
          <color auto="1"/>
        </left>
        <right style="thin">
          <color auto="1"/>
        </right>
        <top style="thin">
          <color auto="1"/>
        </top>
        <bottom style="thin">
          <color auto="1"/>
        </bottom>
      </border>
    </dxf>
    <dxf>
      <font>
        <color rgb="FF974706"/>
      </font>
      <fill>
        <patternFill>
          <bgColor rgb="FFF79646"/>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865600"/>
      </font>
      <fill>
        <patternFill>
          <bgColor rgb="FFFFEB9C"/>
        </patternFill>
      </fill>
      <border diagonalUp="0" diagonalDown="0">
        <left style="thin">
          <color auto="1"/>
        </left>
        <right style="thin">
          <color auto="1"/>
        </right>
        <top style="thin">
          <color auto="1"/>
        </top>
        <bottom style="thin">
          <color auto="1"/>
        </bottom>
      </border>
    </dxf>
    <dxf>
      <font>
        <color rgb="FF974706"/>
      </font>
      <fill>
        <patternFill>
          <bgColor rgb="FFF79646"/>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00000"/>
      <rgbColor rgb="FF00FFFF"/>
      <rgbColor rgb="FF9C0006"/>
      <rgbColor rgb="FF006100"/>
      <rgbColor rgb="FF000080"/>
      <rgbColor rgb="FF9C6500"/>
      <rgbColor rgb="FFC00000"/>
      <rgbColor rgb="FF4F81BD"/>
      <rgbColor rgb="FFE6E0EC"/>
      <rgbColor rgb="FF808080"/>
      <rgbColor rgb="FF7CACBC"/>
      <rgbColor rgb="FF963634"/>
      <rgbColor rgb="FFFFFFCC"/>
      <rgbColor rgb="FFF2F2F2"/>
      <rgbColor rgb="FF625B38"/>
      <rgbColor rgb="FFF79646"/>
      <rgbColor rgb="FF595959"/>
      <rgbColor rgb="FFD8BFEB"/>
      <rgbColor rgb="FF000080"/>
      <rgbColor rgb="FFFF00FF"/>
      <rgbColor rgb="FFFFF019"/>
      <rgbColor rgb="FF00FFFF"/>
      <rgbColor rgb="FFC9211E"/>
      <rgbColor rgb="FF632523"/>
      <rgbColor rgb="FF4D5361"/>
      <rgbColor rgb="FF0000FF"/>
      <rgbColor rgb="FF00CCFF"/>
      <rgbColor rgb="FFC3DFF9"/>
      <rgbColor rgb="FFC6EFCE"/>
      <rgbColor rgb="FFFFEB9C"/>
      <rgbColor rgb="FF8AC181"/>
      <rgbColor rgb="FFDA9694"/>
      <rgbColor rgb="FF865600"/>
      <rgbColor rgb="FFFFC7CE"/>
      <rgbColor rgb="FF4A7EBB"/>
      <rgbColor rgb="FF33C533"/>
      <rgbColor rgb="FF9BBB59"/>
      <rgbColor rgb="FFFFC800"/>
      <rgbColor rgb="FFFF8C00"/>
      <rgbColor rgb="FF984807"/>
      <rgbColor rgb="FF8064A2"/>
      <rgbColor rgb="FF878787"/>
      <rgbColor rgb="FF363636"/>
      <rgbColor rgb="FF437381"/>
      <rgbColor rgb="FF1E3E20"/>
      <rgbColor rgb="FF363600"/>
      <rgbColor rgb="FF974706"/>
      <rgbColor rgb="FFBE4B48"/>
      <rgbColor rgb="FF40404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000000"/>
                </a:solidFill>
                <a:latin typeface="Arial"/>
                <a:ea typeface="Calibri"/>
              </a:defRPr>
            </a:pPr>
            <a:r>
              <a:rPr lang="en-US" sz="1000" b="1" strike="noStrike" spc="-1">
                <a:solidFill>
                  <a:srgbClr val="000000"/>
                </a:solidFill>
                <a:latin typeface="Arial"/>
                <a:ea typeface="Calibri"/>
              </a:rPr>
              <a:t>Project Quality Dynamics</a:t>
            </a:r>
          </a:p>
        </c:rich>
      </c:tx>
      <c:layout>
        <c:manualLayout>
          <c:xMode val="edge"/>
          <c:yMode val="edge"/>
          <c:x val="0.79509491552652001"/>
          <c:y val="3.4018077239112599E-2"/>
        </c:manualLayout>
      </c:layout>
      <c:overlay val="0"/>
      <c:spPr>
        <a:noFill/>
        <a:ln>
          <a:noFill/>
        </a:ln>
      </c:spPr>
    </c:title>
    <c:autoTitleDeleted val="0"/>
    <c:plotArea>
      <c:layout>
        <c:manualLayout>
          <c:layoutTarget val="inner"/>
          <c:xMode val="edge"/>
          <c:yMode val="edge"/>
          <c:x val="0.13424723553508799"/>
          <c:y val="0.19720624486442101"/>
          <c:w val="0.78583094594232805"/>
          <c:h val="0.73738701725554601"/>
        </c:manualLayout>
      </c:layout>
      <c:lineChart>
        <c:grouping val="standard"/>
        <c:varyColors val="0"/>
        <c:ser>
          <c:idx val="0"/>
          <c:order val="0"/>
          <c:spPr>
            <a:ln w="28440">
              <a:solidFill>
                <a:srgbClr val="4F81BD"/>
              </a:solidFill>
              <a:round/>
            </a:ln>
          </c:spPr>
          <c:marker>
            <c:symbol val="circle"/>
            <c:size val="4"/>
            <c:spPr>
              <a:solidFill>
                <a:srgbClr val="4F81BD"/>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9"/>
                <c:pt idx="0">
                  <c:v>52</c:v>
                </c:pt>
                <c:pt idx="1">
                  <c:v>8</c:v>
                </c:pt>
                <c:pt idx="2">
                  <c:v>27</c:v>
                </c:pt>
                <c:pt idx="3">
                  <c:v>19</c:v>
                </c:pt>
                <c:pt idx="4">
                  <c:v>22</c:v>
                </c:pt>
                <c:pt idx="5">
                  <c:v>16</c:v>
                </c:pt>
                <c:pt idx="6">
                  <c:v>23</c:v>
                </c:pt>
                <c:pt idx="7">
                  <c:v>13</c:v>
                </c:pt>
                <c:pt idx="8">
                  <c:v>62</c:v>
                </c:pt>
              </c:numCache>
            </c:numRef>
          </c:val>
          <c:smooth val="1"/>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Defects Number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0-3834-46AD-879D-8FBE8437A594}"/>
            </c:ext>
          </c:extLst>
        </c:ser>
        <c:dLbls>
          <c:showLegendKey val="0"/>
          <c:showVal val="0"/>
          <c:showCatName val="0"/>
          <c:showSerName val="0"/>
          <c:showPercent val="0"/>
          <c:showBubbleSize val="0"/>
        </c:dLbls>
        <c:hiLowLines>
          <c:spPr>
            <a:ln>
              <a:noFill/>
            </a:ln>
          </c:spPr>
        </c:hiLowLines>
        <c:marker val="1"/>
        <c:smooth val="0"/>
        <c:axId val="28695440"/>
        <c:axId val="35234371"/>
      </c:lineChart>
      <c:lineChart>
        <c:grouping val="standard"/>
        <c:varyColors val="0"/>
        <c:ser>
          <c:idx val="1"/>
          <c:order val="1"/>
          <c:spPr>
            <a:ln w="28440">
              <a:solidFill>
                <a:srgbClr val="BE4B48"/>
              </a:solidFill>
              <a:round/>
            </a:ln>
          </c:spPr>
          <c:marker>
            <c:symbol val="circle"/>
            <c:size val="4"/>
            <c:spPr>
              <a:solidFill>
                <a:srgbClr val="BE4B48"/>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9"/>
                <c:pt idx="0">
                  <c:v>6.8000000000000005E-2</c:v>
                </c:pt>
                <c:pt idx="1">
                  <c:v>0.92300000000000004</c:v>
                </c:pt>
                <c:pt idx="2">
                  <c:v>0.14399999999999999</c:v>
                </c:pt>
                <c:pt idx="3">
                  <c:v>0.20200000000000001</c:v>
                </c:pt>
                <c:pt idx="4">
                  <c:v>2.5999999999999999E-2</c:v>
                </c:pt>
                <c:pt idx="5">
                  <c:v>0.55200000000000005</c:v>
                </c:pt>
                <c:pt idx="6">
                  <c:v>0.64</c:v>
                </c:pt>
                <c:pt idx="7">
                  <c:v>0.76100000000000001</c:v>
                </c:pt>
                <c:pt idx="8">
                  <c:v>4.4999999999999998E-2</c:v>
                </c:pt>
              </c:numCache>
            </c:numRef>
          </c:val>
          <c:smooth val="1"/>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Numerical Quality Evaluation</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1-3834-46AD-879D-8FBE8437A594}"/>
            </c:ext>
          </c:extLst>
        </c:ser>
        <c:dLbls>
          <c:showLegendKey val="0"/>
          <c:showVal val="0"/>
          <c:showCatName val="0"/>
          <c:showSerName val="0"/>
          <c:showPercent val="0"/>
          <c:showBubbleSize val="0"/>
        </c:dLbls>
        <c:hiLowLines>
          <c:spPr>
            <a:ln>
              <a:noFill/>
            </a:ln>
          </c:spPr>
        </c:hiLowLines>
        <c:marker val="1"/>
        <c:smooth val="0"/>
        <c:axId val="51002833"/>
        <c:axId val="20872206"/>
      </c:lineChart>
      <c:catAx>
        <c:axId val="28695440"/>
        <c:scaling>
          <c:orientation val="minMax"/>
        </c:scaling>
        <c:delete val="1"/>
        <c:axPos val="b"/>
        <c:numFmt formatCode="General" sourceLinked="1"/>
        <c:majorTickMark val="out"/>
        <c:minorTickMark val="none"/>
        <c:tickLblPos val="nextTo"/>
        <c:crossAx val="35234371"/>
        <c:crosses val="autoZero"/>
        <c:auto val="1"/>
        <c:lblAlgn val="ctr"/>
        <c:lblOffset val="100"/>
        <c:noMultiLvlLbl val="1"/>
      </c:catAx>
      <c:valAx>
        <c:axId val="35234371"/>
        <c:scaling>
          <c:orientation val="minMax"/>
        </c:scaling>
        <c:delete val="0"/>
        <c:axPos val="l"/>
        <c:title>
          <c:tx>
            <c:rich>
              <a:bodyPr rot="-5400000"/>
              <a:lstStyle/>
              <a:p>
                <a:pPr>
                  <a:defRPr sz="900" b="1" strike="noStrike" spc="-1">
                    <a:solidFill>
                      <a:srgbClr val="4F81BD"/>
                    </a:solidFill>
                    <a:latin typeface="Arial"/>
                    <a:ea typeface="Calibri"/>
                  </a:defRPr>
                </a:pPr>
                <a:r>
                  <a:rPr lang="en-US" sz="900" b="1" strike="noStrike" spc="-1">
                    <a:solidFill>
                      <a:srgbClr val="4F81BD"/>
                    </a:solidFill>
                    <a:latin typeface="Arial"/>
                    <a:ea typeface="Calibri"/>
                  </a:rPr>
                  <a:t>Defects Quantity</a:t>
                </a:r>
              </a:p>
            </c:rich>
          </c:tx>
          <c:layout>
            <c:manualLayout>
              <c:xMode val="edge"/>
              <c:yMode val="edge"/>
              <c:x val="9.6896837934081201E-2"/>
              <c:y val="0.33525061626951502"/>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28695440"/>
        <c:crosses val="autoZero"/>
        <c:crossBetween val="midCat"/>
      </c:valAx>
      <c:catAx>
        <c:axId val="51002833"/>
        <c:scaling>
          <c:orientation val="minMax"/>
        </c:scaling>
        <c:delete val="1"/>
        <c:axPos val="b"/>
        <c:numFmt formatCode="General" sourceLinked="1"/>
        <c:majorTickMark val="out"/>
        <c:minorTickMark val="none"/>
        <c:tickLblPos val="nextTo"/>
        <c:crossAx val="20872206"/>
        <c:crosses val="autoZero"/>
        <c:auto val="1"/>
        <c:lblAlgn val="ctr"/>
        <c:lblOffset val="100"/>
        <c:noMultiLvlLbl val="1"/>
      </c:catAx>
      <c:valAx>
        <c:axId val="20872206"/>
        <c:scaling>
          <c:orientation val="minMax"/>
        </c:scaling>
        <c:delete val="0"/>
        <c:axPos val="r"/>
        <c:title>
          <c:tx>
            <c:rich>
              <a:bodyPr rot="-5400000"/>
              <a:lstStyle/>
              <a:p>
                <a:pPr>
                  <a:defRPr sz="900" b="1" strike="noStrike" spc="-1">
                    <a:solidFill>
                      <a:srgbClr val="C00000"/>
                    </a:solidFill>
                    <a:latin typeface="Arial"/>
                    <a:ea typeface="Calibri"/>
                  </a:defRPr>
                </a:pPr>
                <a:r>
                  <a:rPr lang="en-US" sz="900" b="1" strike="noStrike" spc="-1">
                    <a:solidFill>
                      <a:srgbClr val="C00000"/>
                    </a:solidFill>
                    <a:latin typeface="Arial"/>
                    <a:ea typeface="Calibri"/>
                  </a:rPr>
                  <a:t>Numerical Quantity 
Evaluation</a:t>
                </a:r>
              </a:p>
            </c:rich>
          </c:tx>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51002833"/>
        <c:crosses val="max"/>
        <c:crossBetween val="midCat"/>
      </c:valAx>
      <c:spPr>
        <a:solidFill>
          <a:srgbClr val="FFFFFF"/>
        </a:solidFill>
        <a:ln>
          <a:no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000000"/>
                </a:solidFill>
                <a:latin typeface="Arial"/>
                <a:ea typeface="Calibri"/>
              </a:defRPr>
            </a:pPr>
            <a:r>
              <a:rPr sz="1000" b="1" strike="noStrike" spc="-1">
                <a:solidFill>
                  <a:srgbClr val="000000"/>
                </a:solidFill>
                <a:latin typeface="Arial"/>
                <a:ea typeface="Calibri"/>
              </a:rPr>
              <a:t>Defects Quantity Dynamics by Severity</a:t>
            </a:r>
          </a:p>
        </c:rich>
      </c:tx>
      <c:layout>
        <c:manualLayout>
          <c:xMode val="edge"/>
          <c:yMode val="edge"/>
          <c:x val="0.77900487918894401"/>
          <c:y val="2.4983649444081098E-2"/>
        </c:manualLayout>
      </c:layout>
      <c:overlay val="0"/>
      <c:spPr>
        <a:noFill/>
        <a:ln>
          <a:noFill/>
        </a:ln>
      </c:spPr>
    </c:title>
    <c:autoTitleDeleted val="0"/>
    <c:plotArea>
      <c:layout>
        <c:manualLayout>
          <c:layoutTarget val="inner"/>
          <c:xMode val="edge"/>
          <c:yMode val="edge"/>
          <c:x val="0.12095713910071"/>
          <c:y val="0.15775016350555901"/>
          <c:w val="0.86387939346130305"/>
          <c:h val="0.62171353826030096"/>
        </c:manualLayout>
      </c:layout>
      <c:barChart>
        <c:barDir val="col"/>
        <c:grouping val="clustered"/>
        <c:varyColors val="0"/>
        <c:ser>
          <c:idx val="0"/>
          <c:order val="0"/>
          <c:spPr>
            <a:solidFill>
              <a:srgbClr val="C000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9"/>
                <c:pt idx="0">
                  <c:v>1</c:v>
                </c:pt>
                <c:pt idx="1">
                  <c:v>0</c:v>
                </c:pt>
                <c:pt idx="2">
                  <c:v>0</c:v>
                </c:pt>
                <c:pt idx="3">
                  <c:v>0</c:v>
                </c:pt>
                <c:pt idx="4">
                  <c:v>2</c:v>
                </c:pt>
                <c:pt idx="5">
                  <c:v>0</c:v>
                </c:pt>
                <c:pt idx="6">
                  <c:v>0</c:v>
                </c:pt>
                <c:pt idx="7">
                  <c:v>0</c:v>
                </c:pt>
                <c:pt idx="8">
                  <c:v>2</c:v>
                </c:pt>
              </c:numCache>
            </c:numRef>
          </c:val>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Critical</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0-B358-4C18-AE63-38CD95BB8FAA}"/>
            </c:ext>
          </c:extLst>
        </c:ser>
        <c:ser>
          <c:idx val="1"/>
          <c:order val="1"/>
          <c:spPr>
            <a:solidFill>
              <a:srgbClr val="F000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9"/>
                <c:pt idx="0">
                  <c:v>2</c:v>
                </c:pt>
                <c:pt idx="1">
                  <c:v>0</c:v>
                </c:pt>
                <c:pt idx="2">
                  <c:v>8</c:v>
                </c:pt>
                <c:pt idx="3">
                  <c:v>6</c:v>
                </c:pt>
                <c:pt idx="4">
                  <c:v>7</c:v>
                </c:pt>
                <c:pt idx="5">
                  <c:v>8</c:v>
                </c:pt>
                <c:pt idx="6">
                  <c:v>5</c:v>
                </c:pt>
                <c:pt idx="7">
                  <c:v>3</c:v>
                </c:pt>
                <c:pt idx="8">
                  <c:v>1</c:v>
                </c:pt>
              </c:numCache>
            </c:numRef>
          </c:val>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Major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1-B358-4C18-AE63-38CD95BB8FAA}"/>
            </c:ext>
          </c:extLst>
        </c:ser>
        <c:ser>
          <c:idx val="2"/>
          <c:order val="2"/>
          <c:spPr>
            <a:solidFill>
              <a:srgbClr val="FF8C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2</c:f>
              <c:numCache>
                <c:formatCode>General</c:formatCode>
                <c:ptCount val="9"/>
                <c:pt idx="0">
                  <c:v>18</c:v>
                </c:pt>
                <c:pt idx="1">
                  <c:v>0</c:v>
                </c:pt>
                <c:pt idx="2">
                  <c:v>2</c:v>
                </c:pt>
                <c:pt idx="3">
                  <c:v>7</c:v>
                </c:pt>
                <c:pt idx="4">
                  <c:v>2</c:v>
                </c:pt>
                <c:pt idx="5">
                  <c:v>2</c:v>
                </c:pt>
                <c:pt idx="6">
                  <c:v>3</c:v>
                </c:pt>
                <c:pt idx="7">
                  <c:v>2</c:v>
                </c:pt>
                <c:pt idx="8">
                  <c:v>5</c:v>
                </c:pt>
              </c:numCache>
            </c:numRef>
          </c:val>
          <c:extLst>
            <c:ext xmlns:c15="http://schemas.microsoft.com/office/drawing/2012/chart" uri="{02D57815-91ED-43cb-92C2-25804820EDAC}">
              <c15:filteredSeriesTitle>
                <c15:tx>
                  <c:strRef>
                    <c:extLst>
                      <c:ext uri="{02D57815-91ED-43cb-92C2-25804820EDAC}">
                        <c15:formulaRef>
                          <c15:sqref>label 2</c15:sqref>
                        </c15:formulaRef>
                      </c:ext>
                    </c:extLst>
                    <c:strCache>
                      <c:ptCount val="1"/>
                      <c:pt idx="0">
                        <c:v>Average</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2-B358-4C18-AE63-38CD95BB8FAA}"/>
            </c:ext>
          </c:extLst>
        </c:ser>
        <c:ser>
          <c:idx val="3"/>
          <c:order val="3"/>
          <c:spPr>
            <a:solidFill>
              <a:srgbClr val="FFC800"/>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3</c:f>
              <c:numCache>
                <c:formatCode>General</c:formatCode>
                <c:ptCount val="9"/>
                <c:pt idx="0">
                  <c:v>26</c:v>
                </c:pt>
                <c:pt idx="1">
                  <c:v>0</c:v>
                </c:pt>
                <c:pt idx="2">
                  <c:v>9</c:v>
                </c:pt>
                <c:pt idx="3">
                  <c:v>6</c:v>
                </c:pt>
                <c:pt idx="4">
                  <c:v>7</c:v>
                </c:pt>
                <c:pt idx="5">
                  <c:v>4</c:v>
                </c:pt>
                <c:pt idx="6">
                  <c:v>7</c:v>
                </c:pt>
                <c:pt idx="7">
                  <c:v>6</c:v>
                </c:pt>
                <c:pt idx="8">
                  <c:v>15</c:v>
                </c:pt>
              </c:numCache>
            </c:numRef>
          </c:val>
          <c:extLst>
            <c:ext xmlns:c15="http://schemas.microsoft.com/office/drawing/2012/chart" uri="{02D57815-91ED-43cb-92C2-25804820EDAC}">
              <c15:filteredSeriesTitle>
                <c15:tx>
                  <c:strRef>
                    <c:extLst>
                      <c:ext uri="{02D57815-91ED-43cb-92C2-25804820EDAC}">
                        <c15:formulaRef>
                          <c15:sqref>label 3</c15:sqref>
                        </c15:formulaRef>
                      </c:ext>
                    </c:extLst>
                    <c:strCache>
                      <c:ptCount val="1"/>
                      <c:pt idx="0">
                        <c:v>Minor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3-B358-4C18-AE63-38CD95BB8FAA}"/>
            </c:ext>
          </c:extLst>
        </c:ser>
        <c:ser>
          <c:idx val="4"/>
          <c:order val="4"/>
          <c:spPr>
            <a:solidFill>
              <a:srgbClr val="FFF019"/>
            </a:solidFill>
            <a:ln>
              <a:noFill/>
            </a:ln>
          </c:spPr>
          <c:invertIfNegative val="0"/>
          <c:dLbls>
            <c:spPr>
              <a:noFill/>
              <a:ln>
                <a:noFill/>
              </a:ln>
              <a:effectLst/>
            </c:spPr>
            <c:txPr>
              <a:bodyPr/>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4</c:f>
              <c:numCache>
                <c:formatCode>General</c:formatCode>
                <c:ptCount val="9"/>
                <c:pt idx="0">
                  <c:v>5</c:v>
                </c:pt>
                <c:pt idx="1">
                  <c:v>8</c:v>
                </c:pt>
                <c:pt idx="2">
                  <c:v>8</c:v>
                </c:pt>
                <c:pt idx="3">
                  <c:v>0</c:v>
                </c:pt>
                <c:pt idx="4">
                  <c:v>4</c:v>
                </c:pt>
                <c:pt idx="5">
                  <c:v>2</c:v>
                </c:pt>
                <c:pt idx="6">
                  <c:v>8</c:v>
                </c:pt>
                <c:pt idx="7">
                  <c:v>2</c:v>
                </c:pt>
                <c:pt idx="8">
                  <c:v>40</c:v>
                </c:pt>
              </c:numCache>
            </c:numRef>
          </c:val>
          <c:extLst>
            <c:ext xmlns:c15="http://schemas.microsoft.com/office/drawing/2012/chart" uri="{02D57815-91ED-43cb-92C2-25804820EDAC}">
              <c15:filteredSeriesTitle>
                <c15:tx>
                  <c:strRef>
                    <c:extLst>
                      <c:ext uri="{02D57815-91ED-43cb-92C2-25804820EDAC}">
                        <c15:formulaRef>
                          <c15:sqref>label 4</c15:sqref>
                        </c15:formulaRef>
                      </c:ext>
                    </c:extLst>
                    <c:strCache>
                      <c:ptCount val="1"/>
                      <c:pt idx="0">
                        <c:v>Enhancement</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0.0.1</c:v>
                      </c:pt>
                      <c:pt idx="1">
                        <c:v>0.0.2</c:v>
                      </c:pt>
                      <c:pt idx="2">
                        <c:v>0.0.3</c:v>
                      </c:pt>
                      <c:pt idx="3">
                        <c:v>0.0.4</c:v>
                      </c:pt>
                      <c:pt idx="4">
                        <c:v>0.0.5</c:v>
                      </c:pt>
                      <c:pt idx="5">
                        <c:v>0.0.6</c:v>
                      </c:pt>
                      <c:pt idx="6">
                        <c:v>0.0.7</c:v>
                      </c:pt>
                      <c:pt idx="7">
                        <c:v>0.0.8</c:v>
                      </c:pt>
                      <c:pt idx="8">
                        <c:v>0.0.9</c:v>
                      </c:pt>
                    </c:strCache>
                  </c:strRef>
                </c15:cat>
              </c15:filteredCategoryTitle>
            </c:ext>
            <c:ext xmlns:c16="http://schemas.microsoft.com/office/drawing/2014/chart" uri="{C3380CC4-5D6E-409C-BE32-E72D297353CC}">
              <c16:uniqueId val="{00000004-B358-4C18-AE63-38CD95BB8FAA}"/>
            </c:ext>
          </c:extLst>
        </c:ser>
        <c:dLbls>
          <c:showLegendKey val="0"/>
          <c:showVal val="0"/>
          <c:showCatName val="0"/>
          <c:showSerName val="0"/>
          <c:showPercent val="0"/>
          <c:showBubbleSize val="0"/>
        </c:dLbls>
        <c:gapWidth val="150"/>
        <c:axId val="83938839"/>
        <c:axId val="18384982"/>
      </c:barChart>
      <c:catAx>
        <c:axId val="83938839"/>
        <c:scaling>
          <c:orientation val="minMax"/>
        </c:scaling>
        <c:delete val="0"/>
        <c:axPos val="b"/>
        <c:title>
          <c:tx>
            <c:rich>
              <a:bodyPr rot="0"/>
              <a:lstStyle/>
              <a:p>
                <a:pPr>
                  <a:defRPr sz="900" b="1" strike="noStrike" spc="-1">
                    <a:solidFill>
                      <a:srgbClr val="000000"/>
                    </a:solidFill>
                    <a:latin typeface="Arial"/>
                    <a:ea typeface="Calibri"/>
                  </a:defRPr>
                </a:pPr>
                <a:r>
                  <a:rPr sz="900" b="1" strike="noStrike" spc="-1">
                    <a:solidFill>
                      <a:srgbClr val="000000"/>
                    </a:solidFill>
                    <a:latin typeface="Arial"/>
                    <a:ea typeface="Calibri"/>
                  </a:rPr>
                  <a:t>Build Number</a:t>
                </a:r>
              </a:p>
            </c:rich>
          </c:tx>
          <c:layout>
            <c:manualLayout>
              <c:xMode val="edge"/>
              <c:yMode val="edge"/>
              <c:x val="0.90054635229497204"/>
              <c:y val="0.87926749509483304"/>
            </c:manualLayout>
          </c:layout>
          <c:overlay val="0"/>
          <c:spPr>
            <a:noFill/>
            <a:ln>
              <a:noFill/>
            </a:ln>
          </c:spPr>
        </c:title>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18384982"/>
        <c:crosses val="autoZero"/>
        <c:auto val="1"/>
        <c:lblAlgn val="ctr"/>
        <c:lblOffset val="100"/>
        <c:noMultiLvlLbl val="1"/>
      </c:catAx>
      <c:valAx>
        <c:axId val="18384982"/>
        <c:scaling>
          <c:orientation val="minMax"/>
        </c:scaling>
        <c:delete val="0"/>
        <c:axPos val="l"/>
        <c:title>
          <c:tx>
            <c:rich>
              <a:bodyPr rot="-5400000"/>
              <a:lstStyle/>
              <a:p>
                <a:pPr>
                  <a:defRPr sz="900" b="1" strike="noStrike" spc="-1">
                    <a:solidFill>
                      <a:srgbClr val="000000"/>
                    </a:solidFill>
                    <a:latin typeface="Arial"/>
                    <a:ea typeface="Calibri"/>
                  </a:defRPr>
                </a:pPr>
                <a:r>
                  <a:rPr sz="900" b="1" strike="noStrike" spc="-1">
                    <a:solidFill>
                      <a:srgbClr val="000000"/>
                    </a:solidFill>
                    <a:latin typeface="Arial"/>
                    <a:ea typeface="Calibri"/>
                  </a:rPr>
                  <a:t>Defects Quantity</a:t>
                </a:r>
              </a:p>
            </c:rich>
          </c:tx>
          <c:layout>
            <c:manualLayout>
              <c:xMode val="edge"/>
              <c:yMode val="edge"/>
              <c:x val="8.0462792532211405E-2"/>
              <c:y val="0.27063440156965302"/>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83938839"/>
        <c:crosses val="autoZero"/>
        <c:crossBetween val="between"/>
      </c:valAx>
      <c:spPr>
        <a:solidFill>
          <a:srgbClr val="FFFFFF"/>
        </a:solidFill>
        <a:ln>
          <a:noFill/>
        </a:ln>
      </c:spPr>
    </c:plotArea>
    <c:legend>
      <c:legendPos val="r"/>
      <c:layout>
        <c:manualLayout>
          <c:xMode val="edge"/>
          <c:yMode val="edge"/>
          <c:x val="2.18221494817239E-3"/>
          <c:y val="0.26066933674813098"/>
          <c:w val="7.8295724491067101E-2"/>
          <c:h val="0.41868584766004602"/>
        </c:manualLayout>
      </c:layout>
      <c:overlay val="0"/>
      <c:spPr>
        <a:noFill/>
        <a:ln>
          <a:noFill/>
        </a:ln>
      </c:spPr>
      <c:txPr>
        <a:bodyPr/>
        <a:lstStyle/>
        <a:p>
          <a:pPr>
            <a:defRPr sz="900" b="0" strike="noStrike" spc="-1">
              <a:solidFill>
                <a:srgbClr val="000000"/>
              </a:solidFill>
              <a:latin typeface="Arial"/>
              <a:ea typeface="Calibri"/>
            </a:defRPr>
          </a:pPr>
          <a:endParaRPr lang="en-US"/>
        </a:p>
      </c:txPr>
    </c:legend>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000000"/>
                </a:solidFill>
                <a:latin typeface="Arial"/>
                <a:ea typeface="Calibri"/>
              </a:defRPr>
            </a:pPr>
            <a:r>
              <a:rPr sz="1000" b="1" strike="noStrike" spc="-1">
                <a:solidFill>
                  <a:srgbClr val="000000"/>
                </a:solidFill>
                <a:latin typeface="Arial"/>
                <a:ea typeface="Calibri"/>
              </a:rPr>
              <a:t>Defects Quantity vs. Project Size Dynamics</a:t>
            </a:r>
          </a:p>
        </c:rich>
      </c:tx>
      <c:layout>
        <c:manualLayout>
          <c:xMode val="edge"/>
          <c:yMode val="edge"/>
          <c:x val="0.725898474992002"/>
          <c:y val="3.4205788671929097E-2"/>
        </c:manualLayout>
      </c:layout>
      <c:overlay val="0"/>
      <c:spPr>
        <a:noFill/>
        <a:ln>
          <a:noFill/>
        </a:ln>
      </c:spPr>
    </c:title>
    <c:autoTitleDeleted val="0"/>
    <c:plotArea>
      <c:layout>
        <c:manualLayout>
          <c:layoutTarget val="inner"/>
          <c:xMode val="edge"/>
          <c:yMode val="edge"/>
          <c:x val="0.13383811453556599"/>
          <c:y val="0.197202603517518"/>
          <c:w val="0.79401727631438601"/>
          <c:h val="0.59437751004016104"/>
        </c:manualLayout>
      </c:layout>
      <c:lineChart>
        <c:grouping val="standard"/>
        <c:varyColors val="0"/>
        <c:ser>
          <c:idx val="0"/>
          <c:order val="0"/>
          <c:spPr>
            <a:ln w="28440">
              <a:solidFill>
                <a:srgbClr val="4A7EBB"/>
              </a:solidFill>
              <a:round/>
            </a:ln>
          </c:spPr>
          <c:marker>
            <c:symbol val="circle"/>
            <c:size val="4"/>
            <c:spPr>
              <a:solidFill>
                <a:srgbClr val="4A7EBB"/>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0</c:f>
              <c:numCache>
                <c:formatCode>General</c:formatCode>
                <c:ptCount val="9"/>
                <c:pt idx="0">
                  <c:v>52</c:v>
                </c:pt>
                <c:pt idx="1">
                  <c:v>8</c:v>
                </c:pt>
                <c:pt idx="2">
                  <c:v>27</c:v>
                </c:pt>
                <c:pt idx="3">
                  <c:v>19</c:v>
                </c:pt>
                <c:pt idx="4">
                  <c:v>22</c:v>
                </c:pt>
                <c:pt idx="5">
                  <c:v>16</c:v>
                </c:pt>
                <c:pt idx="6">
                  <c:v>23</c:v>
                </c:pt>
                <c:pt idx="7">
                  <c:v>13</c:v>
                </c:pt>
                <c:pt idx="8">
                  <c:v>62</c:v>
                </c:pt>
              </c:numCache>
            </c:numRef>
          </c:val>
          <c:smooth val="0"/>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Defects Number</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0-F9B4-4010-BEB6-A147E569E3AD}"/>
            </c:ext>
          </c:extLst>
        </c:ser>
        <c:dLbls>
          <c:showLegendKey val="0"/>
          <c:showVal val="0"/>
          <c:showCatName val="0"/>
          <c:showSerName val="0"/>
          <c:showPercent val="0"/>
          <c:showBubbleSize val="0"/>
        </c:dLbls>
        <c:hiLowLines>
          <c:spPr>
            <a:ln>
              <a:noFill/>
            </a:ln>
          </c:spPr>
        </c:hiLowLines>
        <c:marker val="1"/>
        <c:smooth val="0"/>
        <c:axId val="50572698"/>
        <c:axId val="24259352"/>
      </c:lineChart>
      <c:lineChart>
        <c:grouping val="standard"/>
        <c:varyColors val="0"/>
        <c:ser>
          <c:idx val="1"/>
          <c:order val="1"/>
          <c:spPr>
            <a:ln w="28440">
              <a:solidFill>
                <a:srgbClr val="BE4B48"/>
              </a:solidFill>
              <a:round/>
            </a:ln>
          </c:spPr>
          <c:marker>
            <c:symbol val="circle"/>
            <c:size val="4"/>
            <c:spPr>
              <a:solidFill>
                <a:srgbClr val="BE4B48"/>
              </a:solidFill>
            </c:spPr>
          </c:marker>
          <c:dLbls>
            <c:spPr>
              <a:noFill/>
              <a:ln>
                <a:noFill/>
              </a:ln>
              <a:effectLst/>
            </c:spPr>
            <c:txPr>
              <a:bodyPr/>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val>
            <c:numRef>
              <c:f>1</c:f>
              <c:numCache>
                <c:formatCode>General</c:formatCode>
                <c:ptCount val="9"/>
                <c:pt idx="0">
                  <c:v>100</c:v>
                </c:pt>
                <c:pt idx="1">
                  <c:v>100</c:v>
                </c:pt>
                <c:pt idx="2">
                  <c:v>100</c:v>
                </c:pt>
                <c:pt idx="3">
                  <c:v>100</c:v>
                </c:pt>
                <c:pt idx="4">
                  <c:v>100</c:v>
                </c:pt>
                <c:pt idx="5">
                  <c:v>300</c:v>
                </c:pt>
                <c:pt idx="6">
                  <c:v>300</c:v>
                </c:pt>
                <c:pt idx="7">
                  <c:v>300</c:v>
                </c:pt>
                <c:pt idx="8">
                  <c:v>100</c:v>
                </c:pt>
              </c:numCache>
            </c:numRef>
          </c:val>
          <c:smooth val="0"/>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Project size</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9"/>
                      <c:pt idx="0">
                        <c:v>1</c:v>
                      </c:pt>
                      <c:pt idx="1">
                        <c:v>2</c:v>
                      </c:pt>
                      <c:pt idx="2">
                        <c:v>3</c:v>
                      </c:pt>
                      <c:pt idx="3">
                        <c:v>4</c:v>
                      </c:pt>
                      <c:pt idx="4">
                        <c:v>5</c:v>
                      </c:pt>
                      <c:pt idx="5">
                        <c:v>6</c:v>
                      </c:pt>
                      <c:pt idx="6">
                        <c:v>7</c:v>
                      </c:pt>
                      <c:pt idx="7">
                        <c:v>8</c:v>
                      </c:pt>
                      <c:pt idx="8">
                        <c:v>9</c:v>
                      </c:pt>
                    </c:strCache>
                  </c:strRef>
                </c15:cat>
              </c15:filteredCategoryTitle>
            </c:ext>
            <c:ext xmlns:c16="http://schemas.microsoft.com/office/drawing/2014/chart" uri="{C3380CC4-5D6E-409C-BE32-E72D297353CC}">
              <c16:uniqueId val="{00000001-F9B4-4010-BEB6-A147E569E3AD}"/>
            </c:ext>
          </c:extLst>
        </c:ser>
        <c:dLbls>
          <c:showLegendKey val="0"/>
          <c:showVal val="0"/>
          <c:showCatName val="0"/>
          <c:showSerName val="0"/>
          <c:showPercent val="0"/>
          <c:showBubbleSize val="0"/>
        </c:dLbls>
        <c:hiLowLines>
          <c:spPr>
            <a:ln>
              <a:noFill/>
            </a:ln>
          </c:spPr>
        </c:hiLowLines>
        <c:marker val="1"/>
        <c:smooth val="0"/>
        <c:axId val="23082996"/>
        <c:axId val="33889398"/>
      </c:lineChart>
      <c:catAx>
        <c:axId val="50572698"/>
        <c:scaling>
          <c:orientation val="minMax"/>
        </c:scaling>
        <c:delete val="0"/>
        <c:axPos val="b"/>
        <c:title>
          <c:tx>
            <c:rich>
              <a:bodyPr rot="0"/>
              <a:lstStyle/>
              <a:p>
                <a:pPr>
                  <a:defRPr sz="900" b="1" strike="noStrike" spc="-1">
                    <a:solidFill>
                      <a:srgbClr val="000000"/>
                    </a:solidFill>
                    <a:latin typeface="Arial"/>
                    <a:ea typeface="Calibri"/>
                  </a:defRPr>
                </a:pPr>
                <a:r>
                  <a:rPr sz="900" b="1" strike="noStrike" spc="-1">
                    <a:solidFill>
                      <a:srgbClr val="000000"/>
                    </a:solidFill>
                    <a:latin typeface="Arial"/>
                    <a:ea typeface="Calibri"/>
                  </a:rPr>
                  <a:t>Build Number</a:t>
                </a:r>
              </a:p>
            </c:rich>
          </c:tx>
          <c:layout>
            <c:manualLayout>
              <c:xMode val="edge"/>
              <c:yMode val="edge"/>
              <c:x val="0.85128505918737296"/>
              <c:y val="0.90070627336933895"/>
            </c:manualLayout>
          </c:layout>
          <c:overlay val="0"/>
          <c:spPr>
            <a:noFill/>
            <a:ln>
              <a:noFill/>
            </a:ln>
          </c:spPr>
        </c:title>
        <c:numFmt formatCode="General" sourceLinked="1"/>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24259352"/>
        <c:crosses val="autoZero"/>
        <c:auto val="1"/>
        <c:lblAlgn val="ctr"/>
        <c:lblOffset val="100"/>
        <c:noMultiLvlLbl val="1"/>
      </c:catAx>
      <c:valAx>
        <c:axId val="24259352"/>
        <c:scaling>
          <c:orientation val="minMax"/>
        </c:scaling>
        <c:delete val="0"/>
        <c:axPos val="l"/>
        <c:title>
          <c:tx>
            <c:rich>
              <a:bodyPr rot="-5400000"/>
              <a:lstStyle/>
              <a:p>
                <a:pPr>
                  <a:defRPr sz="900" b="1" strike="noStrike" spc="-1">
                    <a:solidFill>
                      <a:srgbClr val="4F81BD"/>
                    </a:solidFill>
                    <a:latin typeface="Arial"/>
                    <a:ea typeface="Calibri"/>
                  </a:defRPr>
                </a:pPr>
                <a:r>
                  <a:rPr sz="900" b="1" strike="noStrike" spc="-1">
                    <a:solidFill>
                      <a:srgbClr val="4F81BD"/>
                    </a:solidFill>
                    <a:latin typeface="Arial"/>
                    <a:ea typeface="Calibri"/>
                  </a:rPr>
                  <a:t>Defects Quantity</a:t>
                </a:r>
              </a:p>
            </c:rich>
          </c:tx>
          <c:layout>
            <c:manualLayout>
              <c:xMode val="edge"/>
              <c:yMode val="edge"/>
              <c:x val="9.4246560733710197E-2"/>
              <c:y val="0.29995845450768599"/>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50572698"/>
        <c:crosses val="autoZero"/>
        <c:crossBetween val="midCat"/>
      </c:valAx>
      <c:catAx>
        <c:axId val="23082996"/>
        <c:scaling>
          <c:orientation val="minMax"/>
        </c:scaling>
        <c:delete val="1"/>
        <c:axPos val="b"/>
        <c:numFmt formatCode="General" sourceLinked="1"/>
        <c:majorTickMark val="out"/>
        <c:minorTickMark val="none"/>
        <c:tickLblPos val="nextTo"/>
        <c:crossAx val="33889398"/>
        <c:crosses val="autoZero"/>
        <c:auto val="1"/>
        <c:lblAlgn val="ctr"/>
        <c:lblOffset val="100"/>
        <c:noMultiLvlLbl val="1"/>
      </c:catAx>
      <c:valAx>
        <c:axId val="33889398"/>
        <c:scaling>
          <c:orientation val="minMax"/>
        </c:scaling>
        <c:delete val="0"/>
        <c:axPos val="r"/>
        <c:title>
          <c:tx>
            <c:rich>
              <a:bodyPr rot="-5400000"/>
              <a:lstStyle/>
              <a:p>
                <a:pPr>
                  <a:defRPr sz="900" b="1" strike="noStrike" spc="-1">
                    <a:solidFill>
                      <a:srgbClr val="C00000"/>
                    </a:solidFill>
                    <a:latin typeface="Arial"/>
                    <a:ea typeface="Calibri"/>
                  </a:defRPr>
                </a:pPr>
                <a:r>
                  <a:rPr sz="900" b="1" strike="noStrike" spc="-1">
                    <a:solidFill>
                      <a:srgbClr val="C00000"/>
                    </a:solidFill>
                    <a:latin typeface="Arial"/>
                    <a:ea typeface="Calibri"/>
                  </a:rPr>
                  <a:t>Project  Size</a:t>
                </a:r>
              </a:p>
            </c:rich>
          </c:tx>
          <c:overlay val="0"/>
          <c:spPr>
            <a:noFill/>
            <a:ln>
              <a:noFill/>
            </a:ln>
          </c:spPr>
        </c:title>
        <c:numFmt formatCode="General"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Arial"/>
                <a:ea typeface="Calibri"/>
              </a:defRPr>
            </a:pPr>
            <a:endParaRPr lang="en-US"/>
          </a:p>
        </c:txPr>
        <c:crossAx val="23082996"/>
        <c:crosses val="max"/>
        <c:crossBetween val="midCat"/>
      </c:valAx>
      <c:spPr>
        <a:solidFill>
          <a:srgbClr val="FFFFFF"/>
        </a:solidFill>
        <a:ln>
          <a:no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2755900</xdr:colOff>
      <xdr:row>34</xdr:row>
      <xdr:rowOff>50800</xdr:rowOff>
    </xdr:to>
    <xdr:sp macro="" textlink="">
      <xdr:nvSpPr>
        <xdr:cNvPr id="1038" name="_x0000_t202" hidden="1">
          <a:extLst>
            <a:ext uri="{FF2B5EF4-FFF2-40B4-BE49-F238E27FC236}">
              <a16:creationId xmlns:a16="http://schemas.microsoft.com/office/drawing/2014/main" id="{0733010B-CC3B-98DE-A802-538F021C0C82}"/>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36" name="_x0000_t202" hidden="1">
          <a:extLst>
            <a:ext uri="{FF2B5EF4-FFF2-40B4-BE49-F238E27FC236}">
              <a16:creationId xmlns:a16="http://schemas.microsoft.com/office/drawing/2014/main" id="{031E6824-FEC2-961B-B60C-251FE1F31792}"/>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34" name="_x0000_t202" hidden="1">
          <a:extLst>
            <a:ext uri="{FF2B5EF4-FFF2-40B4-BE49-F238E27FC236}">
              <a16:creationId xmlns:a16="http://schemas.microsoft.com/office/drawing/2014/main" id="{9E0C7A4F-EC97-9877-FFF5-2E225B0E1E7A}"/>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32" name="_x0000_t202" hidden="1">
          <a:extLst>
            <a:ext uri="{FF2B5EF4-FFF2-40B4-BE49-F238E27FC236}">
              <a16:creationId xmlns:a16="http://schemas.microsoft.com/office/drawing/2014/main" id="{72773EC8-0567-6A3C-7842-ECB08C858A75}"/>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30" name="_x0000_t202" hidden="1">
          <a:extLst>
            <a:ext uri="{FF2B5EF4-FFF2-40B4-BE49-F238E27FC236}">
              <a16:creationId xmlns:a16="http://schemas.microsoft.com/office/drawing/2014/main" id="{5D428B50-8F8B-23C1-23EB-9F8561D2E026}"/>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28" name="_x0000_t202" hidden="1">
          <a:extLst>
            <a:ext uri="{FF2B5EF4-FFF2-40B4-BE49-F238E27FC236}">
              <a16:creationId xmlns:a16="http://schemas.microsoft.com/office/drawing/2014/main" id="{F570990F-82BF-A309-B6C0-525636E3FB0E}"/>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1026" name="_x0000_t202" hidden="1">
          <a:extLst>
            <a:ext uri="{FF2B5EF4-FFF2-40B4-BE49-F238E27FC236}">
              <a16:creationId xmlns:a16="http://schemas.microsoft.com/office/drawing/2014/main" id="{6CCF5FD8-0788-29F3-636F-724BB69D51C6}"/>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2" name="AutoShape 14">
          <a:extLst>
            <a:ext uri="{FF2B5EF4-FFF2-40B4-BE49-F238E27FC236}">
              <a16:creationId xmlns:a16="http://schemas.microsoft.com/office/drawing/2014/main" id="{1F55CAA8-CC3E-3F15-870D-60AFFEF401CA}"/>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3" name="AutoShape 12">
          <a:extLst>
            <a:ext uri="{FF2B5EF4-FFF2-40B4-BE49-F238E27FC236}">
              <a16:creationId xmlns:a16="http://schemas.microsoft.com/office/drawing/2014/main" id="{7ADBF6BA-F72F-D8D0-BFA8-784075B24AA3}"/>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4" name="AutoShape 10">
          <a:extLst>
            <a:ext uri="{FF2B5EF4-FFF2-40B4-BE49-F238E27FC236}">
              <a16:creationId xmlns:a16="http://schemas.microsoft.com/office/drawing/2014/main" id="{41989B40-BCA2-13BA-1C91-EFC51426338C}"/>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5" name="AutoShape 8">
          <a:extLst>
            <a:ext uri="{FF2B5EF4-FFF2-40B4-BE49-F238E27FC236}">
              <a16:creationId xmlns:a16="http://schemas.microsoft.com/office/drawing/2014/main" id="{989ABC02-A3F1-B3C0-FB64-2CEB58B4E227}"/>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6" name="AutoShape 6">
          <a:extLst>
            <a:ext uri="{FF2B5EF4-FFF2-40B4-BE49-F238E27FC236}">
              <a16:creationId xmlns:a16="http://schemas.microsoft.com/office/drawing/2014/main" id="{941185F1-8B45-16E9-6BEC-B7A4B7989900}"/>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7" name="AutoShape 4">
          <a:extLst>
            <a:ext uri="{FF2B5EF4-FFF2-40B4-BE49-F238E27FC236}">
              <a16:creationId xmlns:a16="http://schemas.microsoft.com/office/drawing/2014/main" id="{836BA6D5-4F66-9729-B8C9-90647042F52F}"/>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2755900</xdr:colOff>
      <xdr:row>34</xdr:row>
      <xdr:rowOff>50800</xdr:rowOff>
    </xdr:to>
    <xdr:sp macro="" textlink="">
      <xdr:nvSpPr>
        <xdr:cNvPr id="8" name="AutoShape 2">
          <a:extLst>
            <a:ext uri="{FF2B5EF4-FFF2-40B4-BE49-F238E27FC236}">
              <a16:creationId xmlns:a16="http://schemas.microsoft.com/office/drawing/2014/main" id="{8F62D497-36F1-E1BE-F708-0A8FF2680BD8}"/>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9" name="AutoShape 14">
          <a:extLst>
            <a:ext uri="{FF2B5EF4-FFF2-40B4-BE49-F238E27FC236}">
              <a16:creationId xmlns:a16="http://schemas.microsoft.com/office/drawing/2014/main" id="{DF6B35BA-525B-B328-F42D-9889613E6018}"/>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0" name="AutoShape 12">
          <a:extLst>
            <a:ext uri="{FF2B5EF4-FFF2-40B4-BE49-F238E27FC236}">
              <a16:creationId xmlns:a16="http://schemas.microsoft.com/office/drawing/2014/main" id="{1E2D4BC1-83FC-D9CA-A134-C9969E6FA6C0}"/>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1" name="AutoShape 10">
          <a:extLst>
            <a:ext uri="{FF2B5EF4-FFF2-40B4-BE49-F238E27FC236}">
              <a16:creationId xmlns:a16="http://schemas.microsoft.com/office/drawing/2014/main" id="{D13BD558-A222-61E4-C8D3-5C0DDEFD7F73}"/>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2" name="AutoShape 8">
          <a:extLst>
            <a:ext uri="{FF2B5EF4-FFF2-40B4-BE49-F238E27FC236}">
              <a16:creationId xmlns:a16="http://schemas.microsoft.com/office/drawing/2014/main" id="{806A1FE7-C683-2633-7D7C-698EFFF28D1E}"/>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3" name="AutoShape 6">
          <a:extLst>
            <a:ext uri="{FF2B5EF4-FFF2-40B4-BE49-F238E27FC236}">
              <a16:creationId xmlns:a16="http://schemas.microsoft.com/office/drawing/2014/main" id="{D1D97B7C-3036-E093-F798-EDEACC948F76}"/>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4" name="AutoShape 4">
          <a:extLst>
            <a:ext uri="{FF2B5EF4-FFF2-40B4-BE49-F238E27FC236}">
              <a16:creationId xmlns:a16="http://schemas.microsoft.com/office/drawing/2014/main" id="{F781DE10-0A1A-1801-5D80-D0C89077B4D2}"/>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2924175</xdr:colOff>
      <xdr:row>33</xdr:row>
      <xdr:rowOff>57150</xdr:rowOff>
    </xdr:to>
    <xdr:sp macro="" textlink="">
      <xdr:nvSpPr>
        <xdr:cNvPr id="15" name="AutoShape 2">
          <a:extLst>
            <a:ext uri="{FF2B5EF4-FFF2-40B4-BE49-F238E27FC236}">
              <a16:creationId xmlns:a16="http://schemas.microsoft.com/office/drawing/2014/main" id="{08D1D6E2-80AE-8C37-189B-0348B43FA56C}"/>
            </a:ext>
          </a:extLst>
        </xdr:cNvPr>
        <xdr:cNvSpPr>
          <a:spLocks noChangeArrowheads="1"/>
        </xdr:cNvSpPr>
      </xdr:nvSpPr>
      <xdr:spPr bwMode="auto">
        <a:xfrm>
          <a:off x="0" y="0"/>
          <a:ext cx="6353175" cy="6353175"/>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54</xdr:row>
      <xdr:rowOff>149400</xdr:rowOff>
    </xdr:from>
    <xdr:to>
      <xdr:col>10</xdr:col>
      <xdr:colOff>1018440</xdr:colOff>
      <xdr:row>69</xdr:row>
      <xdr:rowOff>53640</xdr:rowOff>
    </xdr:to>
    <xdr:graphicFrame macro="">
      <xdr:nvGraphicFramePr>
        <xdr:cNvPr id="2" name="Chart 4">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304920</xdr:colOff>
      <xdr:row>69</xdr:row>
      <xdr:rowOff>101880</xdr:rowOff>
    </xdr:from>
    <xdr:to>
      <xdr:col>10</xdr:col>
      <xdr:colOff>199440</xdr:colOff>
      <xdr:row>87</xdr:row>
      <xdr:rowOff>110520</xdr:rowOff>
    </xdr:to>
    <xdr:graphicFrame macro="">
      <xdr:nvGraphicFramePr>
        <xdr:cNvPr id="3" name="Chart 5">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90</xdr:row>
      <xdr:rowOff>44640</xdr:rowOff>
    </xdr:from>
    <xdr:to>
      <xdr:col>10</xdr:col>
      <xdr:colOff>1075680</xdr:colOff>
      <xdr:row>107</xdr:row>
      <xdr:rowOff>52920</xdr:rowOff>
    </xdr:to>
    <xdr:graphicFrame macro="">
      <xdr:nvGraphicFramePr>
        <xdr:cNvPr id="4" name="Chart 4">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infosystem.demohoster.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projectx_test.com/" TargetMode="External"/><Relationship Id="rId2" Type="http://schemas.openxmlformats.org/officeDocument/2006/relationships/hyperlink" Target="http://projectx_uat.com/" TargetMode="External"/><Relationship Id="rId1" Type="http://schemas.openxmlformats.org/officeDocument/2006/relationships/hyperlink" Target="http://projectx_live.com/" TargetMode="External"/><Relationship Id="rId4" Type="http://schemas.openxmlformats.org/officeDocument/2006/relationships/hyperlink" Target="http://projectx_dev.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133"/>
  <sheetViews>
    <sheetView topLeftCell="A41" zoomScale="130" zoomScaleNormal="130" workbookViewId="0">
      <selection activeCell="C1" sqref="C1"/>
    </sheetView>
  </sheetViews>
  <sheetFormatPr defaultRowHeight="12.75" x14ac:dyDescent="0.2"/>
  <cols>
    <col min="1" max="2" width="25.7109375" style="1" customWidth="1"/>
    <col min="3" max="3" width="150.7109375" style="1" customWidth="1"/>
    <col min="4" max="1025" width="9.140625" style="1" customWidth="1"/>
  </cols>
  <sheetData>
    <row r="1" spans="1:17" s="4" customFormat="1" ht="48.95" customHeight="1" x14ac:dyDescent="0.2">
      <c r="A1" s="2" t="s">
        <v>0</v>
      </c>
      <c r="B1" s="3"/>
      <c r="C1" s="3"/>
      <c r="D1" s="3"/>
      <c r="E1" s="3"/>
      <c r="F1" s="3"/>
      <c r="J1" s="5"/>
    </row>
    <row r="2" spans="1:17" ht="12" customHeight="1" x14ac:dyDescent="0.2">
      <c r="A2" s="6"/>
      <c r="B2" s="6"/>
      <c r="C2" s="6"/>
    </row>
    <row r="3" spans="1:17" ht="12" customHeight="1" x14ac:dyDescent="0.2">
      <c r="A3" s="118" t="s">
        <v>1</v>
      </c>
      <c r="B3" s="118"/>
      <c r="C3" s="118"/>
    </row>
    <row r="4" spans="1:17" ht="12" customHeight="1" x14ac:dyDescent="0.2">
      <c r="A4" s="119" t="s">
        <v>2</v>
      </c>
      <c r="B4" s="119"/>
      <c r="C4" s="119"/>
    </row>
    <row r="5" spans="1:17" ht="12" customHeight="1" x14ac:dyDescent="0.2">
      <c r="A5" s="120" t="s">
        <v>3</v>
      </c>
      <c r="B5" s="120"/>
      <c r="C5" s="120"/>
    </row>
    <row r="6" spans="1:17" ht="12" customHeight="1" x14ac:dyDescent="0.2">
      <c r="B6" s="9"/>
      <c r="C6" s="9"/>
    </row>
    <row r="7" spans="1:17" ht="12" customHeight="1" x14ac:dyDescent="0.2">
      <c r="A7" s="114" t="s">
        <v>4</v>
      </c>
      <c r="B7" s="114"/>
      <c r="C7" s="114"/>
    </row>
    <row r="8" spans="1:17" ht="12" customHeight="1" x14ac:dyDescent="0.2">
      <c r="C8" s="9"/>
    </row>
    <row r="9" spans="1:17" ht="12" customHeight="1" x14ac:dyDescent="0.2">
      <c r="A9" s="114" t="s">
        <v>5</v>
      </c>
      <c r="B9" s="114"/>
      <c r="C9" s="114"/>
      <c r="D9" s="11"/>
      <c r="E9" s="11"/>
      <c r="F9" s="11"/>
      <c r="G9" s="11"/>
      <c r="H9" s="11"/>
      <c r="I9" s="11"/>
      <c r="J9" s="11"/>
      <c r="K9" s="11"/>
      <c r="L9" s="11"/>
      <c r="M9" s="11"/>
      <c r="N9" s="11"/>
      <c r="O9" s="11"/>
      <c r="P9" s="11"/>
      <c r="Q9" s="11"/>
    </row>
    <row r="10" spans="1:17" ht="12" customHeight="1" x14ac:dyDescent="0.2">
      <c r="A10" s="12" t="s">
        <v>6</v>
      </c>
      <c r="B10" s="116" t="s">
        <v>7</v>
      </c>
      <c r="C10" s="116"/>
      <c r="D10" s="9"/>
      <c r="E10" s="9"/>
      <c r="F10" s="9"/>
      <c r="G10" s="9"/>
      <c r="H10" s="9"/>
      <c r="I10" s="9"/>
      <c r="J10" s="9"/>
      <c r="K10" s="9"/>
      <c r="L10" s="9"/>
      <c r="M10" s="9"/>
      <c r="N10" s="9"/>
      <c r="O10" s="9"/>
      <c r="P10" s="9"/>
      <c r="Q10" s="9"/>
    </row>
    <row r="11" spans="1:17" ht="11.25" customHeight="1" x14ac:dyDescent="0.2">
      <c r="A11" s="117" t="s">
        <v>8</v>
      </c>
      <c r="B11" s="13" t="s">
        <v>9</v>
      </c>
      <c r="C11" s="14" t="s">
        <v>10</v>
      </c>
      <c r="D11" s="9"/>
      <c r="E11" s="9"/>
      <c r="F11" s="9"/>
      <c r="G11" s="9"/>
      <c r="H11" s="9"/>
      <c r="I11" s="9"/>
      <c r="J11" s="9"/>
      <c r="K11" s="9"/>
      <c r="L11" s="9"/>
      <c r="M11" s="9"/>
      <c r="N11" s="9"/>
      <c r="O11" s="9"/>
      <c r="P11" s="9"/>
      <c r="Q11" s="9"/>
    </row>
    <row r="12" spans="1:17" ht="22.5" x14ac:dyDescent="0.2">
      <c r="A12" s="117"/>
      <c r="B12" s="15" t="s">
        <v>11</v>
      </c>
      <c r="C12" s="16" t="s">
        <v>12</v>
      </c>
      <c r="D12" s="9"/>
      <c r="E12" s="9"/>
      <c r="F12" s="9"/>
      <c r="G12" s="9"/>
      <c r="H12" s="9"/>
      <c r="I12" s="9"/>
      <c r="J12" s="9"/>
      <c r="K12" s="9"/>
      <c r="L12" s="9"/>
      <c r="M12" s="9"/>
      <c r="N12" s="9"/>
      <c r="O12" s="9"/>
      <c r="P12" s="9"/>
      <c r="Q12" s="9"/>
    </row>
    <row r="13" spans="1:17" ht="33.75" x14ac:dyDescent="0.2">
      <c r="A13" s="117"/>
      <c r="B13" s="15" t="s">
        <v>13</v>
      </c>
      <c r="C13" s="16" t="s">
        <v>14</v>
      </c>
      <c r="D13" s="9"/>
      <c r="E13" s="9"/>
      <c r="F13" s="9"/>
      <c r="G13" s="9"/>
      <c r="H13" s="9"/>
      <c r="I13" s="9"/>
      <c r="J13" s="9"/>
      <c r="K13" s="9"/>
      <c r="L13" s="9"/>
      <c r="M13" s="9"/>
      <c r="N13" s="9"/>
      <c r="O13" s="9"/>
      <c r="P13" s="9"/>
      <c r="Q13" s="9"/>
    </row>
    <row r="14" spans="1:17" ht="22.5" x14ac:dyDescent="0.2">
      <c r="A14" s="117"/>
      <c r="B14" s="15" t="s">
        <v>15</v>
      </c>
      <c r="C14" s="16" t="s">
        <v>16</v>
      </c>
      <c r="D14" s="9"/>
      <c r="E14" s="9"/>
      <c r="F14" s="9"/>
      <c r="G14" s="9"/>
      <c r="H14" s="9"/>
      <c r="I14" s="9"/>
      <c r="J14" s="9"/>
      <c r="K14" s="9"/>
      <c r="L14" s="9"/>
      <c r="M14" s="9"/>
      <c r="N14" s="9"/>
      <c r="O14" s="9"/>
      <c r="P14" s="9"/>
      <c r="Q14" s="9"/>
    </row>
    <row r="15" spans="1:17" ht="22.5" x14ac:dyDescent="0.2">
      <c r="A15" s="117"/>
      <c r="B15" s="15" t="s">
        <v>17</v>
      </c>
      <c r="C15" s="16" t="s">
        <v>18</v>
      </c>
      <c r="D15" s="9"/>
      <c r="E15" s="9"/>
      <c r="F15" s="9"/>
      <c r="G15" s="9"/>
      <c r="H15" s="9"/>
      <c r="I15" s="9"/>
      <c r="J15" s="9"/>
      <c r="K15" s="9"/>
      <c r="L15" s="9"/>
      <c r="M15" s="9"/>
      <c r="N15" s="9"/>
      <c r="O15" s="9"/>
      <c r="P15" s="9"/>
      <c r="Q15" s="9"/>
    </row>
    <row r="16" spans="1:17" ht="22.5" x14ac:dyDescent="0.2">
      <c r="A16" s="117"/>
      <c r="B16" s="15" t="s">
        <v>19</v>
      </c>
      <c r="C16" s="17" t="s">
        <v>20</v>
      </c>
      <c r="D16" s="9"/>
      <c r="E16" s="9"/>
      <c r="F16" s="9"/>
      <c r="G16" s="9"/>
      <c r="H16" s="9"/>
      <c r="I16" s="9"/>
      <c r="J16" s="9"/>
      <c r="K16" s="9"/>
      <c r="L16" s="9"/>
      <c r="M16" s="9"/>
      <c r="N16" s="9"/>
      <c r="O16" s="9"/>
      <c r="P16" s="9"/>
      <c r="Q16" s="9"/>
    </row>
    <row r="17" spans="1:17" ht="12" customHeight="1" x14ac:dyDescent="0.2">
      <c r="A17" s="117"/>
      <c r="B17" s="15" t="s">
        <v>21</v>
      </c>
      <c r="C17" s="17" t="s">
        <v>22</v>
      </c>
      <c r="D17" s="9"/>
      <c r="E17" s="9"/>
      <c r="F17" s="9"/>
      <c r="G17" s="9"/>
      <c r="H17" s="9"/>
      <c r="I17" s="9"/>
      <c r="J17" s="9"/>
      <c r="K17" s="9"/>
      <c r="L17" s="9"/>
      <c r="M17" s="9"/>
      <c r="N17" s="9"/>
      <c r="O17" s="9"/>
      <c r="P17" s="9"/>
      <c r="Q17" s="9"/>
    </row>
    <row r="18" spans="1:17" ht="12" customHeight="1" x14ac:dyDescent="0.2">
      <c r="A18" s="117"/>
      <c r="B18" s="7"/>
      <c r="C18" s="18" t="s">
        <v>23</v>
      </c>
      <c r="D18" s="9"/>
      <c r="E18" s="9"/>
      <c r="F18" s="9"/>
      <c r="G18" s="9"/>
      <c r="H18" s="9"/>
      <c r="I18" s="9"/>
      <c r="J18" s="9"/>
      <c r="K18" s="9"/>
      <c r="L18" s="9"/>
      <c r="M18" s="9"/>
      <c r="N18" s="9"/>
      <c r="O18" s="9"/>
      <c r="P18" s="9"/>
      <c r="Q18" s="9"/>
    </row>
    <row r="19" spans="1:17" ht="12" customHeight="1" x14ac:dyDescent="0.2">
      <c r="A19" s="117"/>
      <c r="B19" s="8"/>
      <c r="C19" s="19" t="s">
        <v>23</v>
      </c>
      <c r="D19" s="9"/>
      <c r="E19" s="9"/>
      <c r="F19" s="9"/>
      <c r="G19" s="9"/>
      <c r="H19" s="9"/>
      <c r="I19" s="9"/>
      <c r="J19" s="9"/>
      <c r="K19" s="9"/>
      <c r="L19" s="9"/>
      <c r="M19" s="9"/>
      <c r="N19" s="9"/>
      <c r="O19" s="9"/>
      <c r="P19" s="9"/>
      <c r="Q19" s="9"/>
    </row>
    <row r="20" spans="1:17" ht="12" customHeight="1" x14ac:dyDescent="0.2">
      <c r="A20" s="12" t="s">
        <v>24</v>
      </c>
      <c r="B20" s="116" t="s">
        <v>25</v>
      </c>
      <c r="C20" s="116"/>
      <c r="D20" s="9"/>
      <c r="E20" s="9"/>
      <c r="F20" s="9"/>
      <c r="G20" s="9"/>
      <c r="H20" s="9"/>
      <c r="I20" s="9"/>
      <c r="J20" s="9"/>
      <c r="K20" s="9"/>
      <c r="L20" s="9"/>
      <c r="M20" s="9"/>
      <c r="N20" s="9"/>
      <c r="O20" s="9"/>
      <c r="P20" s="9"/>
      <c r="Q20" s="9"/>
    </row>
    <row r="21" spans="1:17" ht="12" customHeight="1" x14ac:dyDescent="0.2">
      <c r="A21" s="12" t="s">
        <v>26</v>
      </c>
      <c r="B21" s="116" t="s">
        <v>27</v>
      </c>
      <c r="C21" s="116"/>
      <c r="D21" s="9"/>
      <c r="E21" s="9"/>
      <c r="F21" s="9"/>
      <c r="G21" s="9"/>
      <c r="H21" s="9"/>
      <c r="I21" s="9"/>
      <c r="J21" s="9"/>
      <c r="K21" s="9"/>
      <c r="L21" s="9"/>
      <c r="M21" s="9"/>
      <c r="N21" s="9"/>
      <c r="O21" s="9"/>
      <c r="P21" s="9"/>
      <c r="Q21" s="9"/>
    </row>
    <row r="22" spans="1:17" ht="12" customHeight="1" x14ac:dyDescent="0.2">
      <c r="A22" s="12" t="s">
        <v>28</v>
      </c>
      <c r="B22" s="116" t="s">
        <v>29</v>
      </c>
      <c r="C22" s="116"/>
      <c r="D22" s="9"/>
      <c r="E22" s="9"/>
      <c r="F22" s="9"/>
      <c r="G22" s="9"/>
      <c r="H22" s="9"/>
      <c r="I22" s="9"/>
      <c r="J22" s="9"/>
      <c r="K22" s="9"/>
      <c r="L22" s="9"/>
      <c r="M22" s="9"/>
      <c r="N22" s="9"/>
      <c r="O22" s="9"/>
      <c r="P22" s="9"/>
      <c r="Q22" s="9"/>
    </row>
    <row r="23" spans="1:17" ht="12" customHeight="1" x14ac:dyDescent="0.2">
      <c r="A23" s="12" t="s">
        <v>30</v>
      </c>
      <c r="B23" s="116" t="s">
        <v>31</v>
      </c>
      <c r="C23" s="116"/>
      <c r="D23" s="9"/>
      <c r="E23" s="9"/>
      <c r="F23" s="9"/>
      <c r="G23" s="9"/>
      <c r="H23" s="9"/>
      <c r="I23" s="9"/>
      <c r="J23" s="9"/>
      <c r="K23" s="9"/>
      <c r="L23" s="9"/>
      <c r="M23" s="9"/>
      <c r="N23" s="9"/>
      <c r="O23" s="9"/>
      <c r="P23" s="9"/>
      <c r="Q23" s="9"/>
    </row>
    <row r="24" spans="1:17" ht="12" customHeight="1" x14ac:dyDescent="0.2">
      <c r="A24" s="12" t="s">
        <v>32</v>
      </c>
      <c r="B24" s="116" t="s">
        <v>33</v>
      </c>
      <c r="C24" s="116"/>
      <c r="D24" s="9"/>
      <c r="E24" s="9"/>
      <c r="F24" s="9"/>
      <c r="G24" s="9"/>
      <c r="H24" s="9"/>
      <c r="I24" s="9"/>
      <c r="J24" s="9"/>
      <c r="K24" s="9"/>
      <c r="L24" s="9"/>
      <c r="M24" s="9"/>
      <c r="N24" s="9"/>
      <c r="O24" s="9"/>
      <c r="P24" s="9"/>
      <c r="Q24" s="9"/>
    </row>
    <row r="25" spans="1:17" ht="12" customHeight="1" x14ac:dyDescent="0.2">
      <c r="A25" s="12" t="s">
        <v>34</v>
      </c>
      <c r="B25" s="116" t="s">
        <v>35</v>
      </c>
      <c r="C25" s="116"/>
      <c r="D25" s="9"/>
      <c r="E25" s="9"/>
      <c r="F25" s="9"/>
      <c r="G25" s="9"/>
      <c r="H25" s="9"/>
      <c r="I25" s="9"/>
      <c r="J25" s="9"/>
      <c r="K25" s="9"/>
      <c r="L25" s="9"/>
      <c r="M25" s="9"/>
      <c r="N25" s="9"/>
      <c r="O25" s="9"/>
      <c r="P25" s="9"/>
      <c r="Q25" s="9"/>
    </row>
    <row r="26" spans="1:17" ht="12" customHeight="1" x14ac:dyDescent="0.2">
      <c r="A26" s="12" t="s">
        <v>36</v>
      </c>
      <c r="B26" s="116" t="s">
        <v>37</v>
      </c>
      <c r="C26" s="116"/>
      <c r="D26" s="9"/>
      <c r="E26" s="9"/>
      <c r="F26" s="9"/>
      <c r="G26" s="9"/>
      <c r="H26" s="9"/>
      <c r="I26" s="9"/>
      <c r="J26" s="9"/>
      <c r="K26" s="9"/>
      <c r="L26" s="9"/>
      <c r="M26" s="9"/>
      <c r="N26" s="9"/>
      <c r="O26" s="9"/>
      <c r="P26" s="9"/>
      <c r="Q26" s="9"/>
    </row>
    <row r="27" spans="1:17" ht="12" customHeight="1" x14ac:dyDescent="0.2">
      <c r="A27" s="12" t="s">
        <v>38</v>
      </c>
      <c r="B27" s="116" t="s">
        <v>39</v>
      </c>
      <c r="C27" s="116"/>
      <c r="D27" s="9"/>
      <c r="E27" s="9"/>
      <c r="F27" s="9"/>
      <c r="G27" s="9"/>
      <c r="H27" s="9"/>
      <c r="I27" s="9"/>
      <c r="J27" s="9"/>
      <c r="K27" s="9"/>
      <c r="L27" s="9"/>
      <c r="M27" s="9"/>
      <c r="N27" s="9"/>
      <c r="O27" s="9"/>
      <c r="P27" s="9"/>
      <c r="Q27" s="9"/>
    </row>
    <row r="28" spans="1:17" ht="12" customHeight="1" x14ac:dyDescent="0.2">
      <c r="A28" s="12" t="s">
        <v>40</v>
      </c>
      <c r="B28" s="116" t="s">
        <v>41</v>
      </c>
      <c r="C28" s="116"/>
      <c r="D28" s="9"/>
      <c r="E28" s="9"/>
      <c r="F28" s="9"/>
      <c r="G28" s="9"/>
      <c r="H28" s="9"/>
      <c r="I28" s="9"/>
      <c r="J28" s="9"/>
      <c r="K28" s="9"/>
      <c r="L28" s="9"/>
      <c r="M28" s="9"/>
      <c r="N28" s="9"/>
      <c r="O28" s="9"/>
      <c r="P28" s="9"/>
      <c r="Q28" s="9"/>
    </row>
    <row r="29" spans="1:17" ht="12" customHeight="1" x14ac:dyDescent="0.2">
      <c r="A29" s="12" t="s">
        <v>42</v>
      </c>
      <c r="B29" s="116" t="s">
        <v>43</v>
      </c>
      <c r="C29" s="116"/>
    </row>
    <row r="30" spans="1:17" ht="12" customHeight="1" x14ac:dyDescent="0.2">
      <c r="B30" s="20"/>
      <c r="C30" s="20"/>
    </row>
    <row r="31" spans="1:17" ht="12" customHeight="1" x14ac:dyDescent="0.2"/>
    <row r="32" spans="1:17" ht="12" customHeight="1" x14ac:dyDescent="0.2">
      <c r="A32" s="114" t="s">
        <v>44</v>
      </c>
      <c r="B32" s="114"/>
      <c r="C32" s="114"/>
    </row>
    <row r="33" spans="1:3" ht="12" customHeight="1" x14ac:dyDescent="0.2">
      <c r="A33" s="12" t="s">
        <v>40</v>
      </c>
      <c r="B33" s="116" t="s">
        <v>45</v>
      </c>
      <c r="C33" s="116"/>
    </row>
    <row r="34" spans="1:3" ht="12" customHeight="1" x14ac:dyDescent="0.2">
      <c r="A34" s="12" t="s">
        <v>46</v>
      </c>
      <c r="B34" s="116" t="s">
        <v>47</v>
      </c>
      <c r="C34" s="116"/>
    </row>
    <row r="35" spans="1:3" ht="12" customHeight="1" x14ac:dyDescent="0.2">
      <c r="A35" s="12" t="s">
        <v>42</v>
      </c>
      <c r="B35" s="116" t="s">
        <v>43</v>
      </c>
      <c r="C35" s="116"/>
    </row>
    <row r="36" spans="1:3" ht="12" customHeight="1" x14ac:dyDescent="0.2"/>
    <row r="37" spans="1:3" ht="12" customHeight="1" x14ac:dyDescent="0.2"/>
    <row r="38" spans="1:3" ht="12" customHeight="1" x14ac:dyDescent="0.2">
      <c r="A38" s="114" t="s">
        <v>48</v>
      </c>
      <c r="B38" s="114"/>
      <c r="C38" s="114"/>
    </row>
    <row r="39" spans="1:3" ht="12" customHeight="1" x14ac:dyDescent="0.2">
      <c r="A39" s="12" t="s">
        <v>49</v>
      </c>
      <c r="B39" s="116" t="s">
        <v>50</v>
      </c>
      <c r="C39" s="116"/>
    </row>
    <row r="40" spans="1:3" ht="12" customHeight="1" x14ac:dyDescent="0.2">
      <c r="A40" s="12" t="s">
        <v>51</v>
      </c>
      <c r="B40" s="116" t="s">
        <v>52</v>
      </c>
      <c r="C40" s="116"/>
    </row>
    <row r="41" spans="1:3" ht="12" customHeight="1" x14ac:dyDescent="0.2">
      <c r="A41" s="12" t="s">
        <v>53</v>
      </c>
      <c r="B41" s="116" t="s">
        <v>54</v>
      </c>
      <c r="C41" s="116"/>
    </row>
    <row r="42" spans="1:3" ht="12" customHeight="1" x14ac:dyDescent="0.2">
      <c r="A42" s="12" t="s">
        <v>55</v>
      </c>
      <c r="B42" s="116" t="s">
        <v>56</v>
      </c>
      <c r="C42" s="116"/>
    </row>
    <row r="43" spans="1:3" ht="12" customHeight="1" x14ac:dyDescent="0.2">
      <c r="A43" s="12" t="s">
        <v>57</v>
      </c>
      <c r="B43" s="116" t="s">
        <v>58</v>
      </c>
      <c r="C43" s="116"/>
    </row>
    <row r="44" spans="1:3" ht="12" customHeight="1" x14ac:dyDescent="0.2">
      <c r="A44" s="12" t="s">
        <v>59</v>
      </c>
      <c r="B44" s="116" t="s">
        <v>60</v>
      </c>
      <c r="C44" s="116"/>
    </row>
    <row r="45" spans="1:3" ht="12" customHeight="1" x14ac:dyDescent="0.2">
      <c r="A45" s="12" t="s">
        <v>42</v>
      </c>
      <c r="B45" s="116" t="s">
        <v>43</v>
      </c>
      <c r="C45" s="116"/>
    </row>
    <row r="46" spans="1:3" ht="12" customHeight="1" x14ac:dyDescent="0.2"/>
    <row r="47" spans="1:3" ht="12" customHeight="1" x14ac:dyDescent="0.2"/>
    <row r="48" spans="1:3" ht="12" customHeight="1" x14ac:dyDescent="0.2">
      <c r="A48" s="114" t="s">
        <v>61</v>
      </c>
      <c r="B48" s="114"/>
      <c r="C48" s="114"/>
    </row>
    <row r="49" spans="1:23" ht="12" customHeight="1" x14ac:dyDescent="0.2">
      <c r="A49" s="12" t="s">
        <v>62</v>
      </c>
      <c r="B49" s="116" t="s">
        <v>63</v>
      </c>
      <c r="C49" s="116"/>
    </row>
    <row r="50" spans="1:23" ht="12" customHeight="1" x14ac:dyDescent="0.2">
      <c r="A50" s="12" t="s">
        <v>64</v>
      </c>
      <c r="B50" s="116" t="s">
        <v>65</v>
      </c>
      <c r="C50" s="116"/>
    </row>
    <row r="51" spans="1:23" ht="12" customHeight="1" x14ac:dyDescent="0.2">
      <c r="A51" s="12" t="s">
        <v>66</v>
      </c>
      <c r="B51" s="116" t="s">
        <v>67</v>
      </c>
      <c r="C51" s="116"/>
    </row>
    <row r="52" spans="1:23" ht="12" customHeight="1" x14ac:dyDescent="0.2">
      <c r="A52" s="12" t="s">
        <v>68</v>
      </c>
      <c r="B52" s="116" t="s">
        <v>69</v>
      </c>
      <c r="C52" s="116"/>
    </row>
    <row r="53" spans="1:23" ht="12" customHeight="1" x14ac:dyDescent="0.2">
      <c r="A53" s="12" t="s">
        <v>70</v>
      </c>
      <c r="B53" s="116" t="s">
        <v>71</v>
      </c>
      <c r="C53" s="116"/>
    </row>
    <row r="54" spans="1:23" ht="12" customHeight="1" x14ac:dyDescent="0.2">
      <c r="A54" s="12" t="s">
        <v>72</v>
      </c>
      <c r="B54" s="116" t="s">
        <v>73</v>
      </c>
      <c r="C54" s="116"/>
    </row>
    <row r="55" spans="1:23" ht="12" customHeight="1" x14ac:dyDescent="0.2">
      <c r="A55" s="12" t="s">
        <v>74</v>
      </c>
      <c r="B55" s="116" t="s">
        <v>75</v>
      </c>
      <c r="C55" s="116"/>
    </row>
    <row r="56" spans="1:23" ht="12" customHeight="1" x14ac:dyDescent="0.2">
      <c r="A56" s="12" t="s">
        <v>76</v>
      </c>
      <c r="B56" s="116" t="s">
        <v>77</v>
      </c>
      <c r="C56" s="116"/>
    </row>
    <row r="57" spans="1:23" ht="12" customHeight="1" x14ac:dyDescent="0.2">
      <c r="A57" s="12" t="s">
        <v>42</v>
      </c>
      <c r="B57" s="116" t="s">
        <v>43</v>
      </c>
      <c r="C57" s="116"/>
    </row>
    <row r="58" spans="1:23" ht="12" customHeight="1" x14ac:dyDescent="0.2"/>
    <row r="59" spans="1:23" s="21" customFormat="1" ht="12" customHeight="1" x14ac:dyDescent="0.2">
      <c r="Q59" s="1"/>
      <c r="R59" s="1"/>
      <c r="W59" s="1"/>
    </row>
    <row r="60" spans="1:23" s="21" customFormat="1" ht="12" customHeight="1" x14ac:dyDescent="0.2">
      <c r="A60" s="114" t="s">
        <v>78</v>
      </c>
      <c r="B60" s="114"/>
      <c r="C60" s="114"/>
      <c r="Q60" s="1"/>
      <c r="R60" s="1"/>
      <c r="W60" s="1"/>
    </row>
    <row r="61" spans="1:23" ht="12" customHeight="1" x14ac:dyDescent="0.2">
      <c r="A61" s="12" t="s">
        <v>79</v>
      </c>
      <c r="B61" s="116" t="s">
        <v>80</v>
      </c>
      <c r="C61" s="116"/>
    </row>
    <row r="62" spans="1:23" ht="12" customHeight="1" x14ac:dyDescent="0.2">
      <c r="A62" s="12" t="s">
        <v>81</v>
      </c>
      <c r="B62" s="116" t="s">
        <v>82</v>
      </c>
      <c r="C62" s="116"/>
    </row>
    <row r="63" spans="1:23" ht="12" customHeight="1" x14ac:dyDescent="0.2">
      <c r="A63" s="12" t="s">
        <v>74</v>
      </c>
      <c r="B63" s="116" t="s">
        <v>83</v>
      </c>
      <c r="C63" s="116"/>
    </row>
    <row r="64" spans="1:23" ht="12" customHeight="1" x14ac:dyDescent="0.2">
      <c r="A64" s="12" t="s">
        <v>76</v>
      </c>
      <c r="B64" s="116" t="s">
        <v>84</v>
      </c>
      <c r="C64" s="116"/>
    </row>
    <row r="65" spans="1:23" ht="12" customHeight="1" x14ac:dyDescent="0.2">
      <c r="A65" s="12" t="s">
        <v>42</v>
      </c>
      <c r="B65" s="116" t="s">
        <v>43</v>
      </c>
      <c r="C65" s="116"/>
    </row>
    <row r="66" spans="1:23" ht="12" customHeight="1" x14ac:dyDescent="0.2">
      <c r="A66" s="21"/>
      <c r="B66" s="20"/>
      <c r="C66" s="20"/>
    </row>
    <row r="67" spans="1:23" ht="12" customHeight="1" x14ac:dyDescent="0.2">
      <c r="A67" s="21"/>
      <c r="B67" s="20"/>
      <c r="C67" s="20"/>
    </row>
    <row r="68" spans="1:23" ht="12" customHeight="1" x14ac:dyDescent="0.2">
      <c r="A68" s="114" t="s">
        <v>85</v>
      </c>
      <c r="B68" s="114"/>
      <c r="C68" s="114"/>
    </row>
    <row r="69" spans="1:23" ht="12" customHeight="1" x14ac:dyDescent="0.2">
      <c r="A69" s="12" t="s">
        <v>86</v>
      </c>
      <c r="B69" s="116" t="s">
        <v>87</v>
      </c>
      <c r="C69" s="116"/>
    </row>
    <row r="70" spans="1:23" ht="12" customHeight="1" x14ac:dyDescent="0.2">
      <c r="A70" s="12" t="s">
        <v>88</v>
      </c>
      <c r="B70" s="116" t="s">
        <v>89</v>
      </c>
      <c r="C70" s="116"/>
    </row>
    <row r="71" spans="1:23" ht="12" customHeight="1" x14ac:dyDescent="0.2">
      <c r="A71" s="12" t="s">
        <v>90</v>
      </c>
      <c r="B71" s="116" t="s">
        <v>91</v>
      </c>
      <c r="C71" s="116"/>
    </row>
    <row r="72" spans="1:23" ht="12" customHeight="1" x14ac:dyDescent="0.2">
      <c r="A72" s="12" t="s">
        <v>92</v>
      </c>
      <c r="B72" s="116" t="s">
        <v>93</v>
      </c>
      <c r="C72" s="116"/>
    </row>
    <row r="73" spans="1:23" ht="12" customHeight="1" x14ac:dyDescent="0.2">
      <c r="A73" s="12" t="s">
        <v>94</v>
      </c>
      <c r="B73" s="116" t="s">
        <v>95</v>
      </c>
      <c r="C73" s="116"/>
    </row>
    <row r="74" spans="1:23" s="21" customFormat="1" ht="12" customHeight="1" x14ac:dyDescent="0.2">
      <c r="A74" s="12" t="s">
        <v>59</v>
      </c>
      <c r="B74" s="116" t="s">
        <v>60</v>
      </c>
      <c r="C74" s="116"/>
      <c r="Q74" s="1"/>
      <c r="W74" s="1"/>
    </row>
    <row r="75" spans="1:23" s="21" customFormat="1" ht="12" customHeight="1" x14ac:dyDescent="0.2">
      <c r="A75" s="12" t="s">
        <v>42</v>
      </c>
      <c r="B75" s="116" t="s">
        <v>43</v>
      </c>
      <c r="C75" s="116"/>
      <c r="Q75" s="1"/>
      <c r="W75" s="1"/>
    </row>
    <row r="76" spans="1:23" s="21" customFormat="1" ht="11.25" x14ac:dyDescent="0.2">
      <c r="Q76" s="1"/>
      <c r="W76" s="1"/>
    </row>
    <row r="77" spans="1:23" s="21" customFormat="1" ht="11.25" x14ac:dyDescent="0.2">
      <c r="Q77" s="1"/>
      <c r="W77" s="1"/>
    </row>
    <row r="78" spans="1:23" s="21" customFormat="1" ht="12" customHeight="1" x14ac:dyDescent="0.2">
      <c r="A78" s="114" t="s">
        <v>96</v>
      </c>
      <c r="B78" s="114"/>
      <c r="C78" s="114"/>
      <c r="Q78" s="1"/>
      <c r="W78" s="1"/>
    </row>
    <row r="79" spans="1:23" s="21" customFormat="1" ht="12" customHeight="1" x14ac:dyDescent="0.2">
      <c r="A79" s="22" t="s">
        <v>97</v>
      </c>
      <c r="B79" s="116" t="s">
        <v>98</v>
      </c>
      <c r="C79" s="116"/>
      <c r="Q79" s="1"/>
      <c r="W79" s="1"/>
    </row>
    <row r="80" spans="1:23" s="21" customFormat="1" ht="12" customHeight="1" x14ac:dyDescent="0.2">
      <c r="A80" s="22" t="s">
        <v>99</v>
      </c>
      <c r="B80" s="116" t="s">
        <v>100</v>
      </c>
      <c r="C80" s="116"/>
      <c r="Q80" s="1"/>
      <c r="W80" s="1"/>
    </row>
    <row r="81" spans="1:23" s="21" customFormat="1" ht="12" customHeight="1" x14ac:dyDescent="0.2">
      <c r="A81" s="22" t="s">
        <v>94</v>
      </c>
      <c r="B81" s="116" t="s">
        <v>95</v>
      </c>
      <c r="C81" s="116"/>
      <c r="Q81" s="1"/>
      <c r="W81" s="1"/>
    </row>
    <row r="82" spans="1:23" s="21" customFormat="1" ht="12" customHeight="1" x14ac:dyDescent="0.2">
      <c r="A82" s="22" t="s">
        <v>92</v>
      </c>
      <c r="B82" s="116" t="s">
        <v>93</v>
      </c>
      <c r="C82" s="116"/>
      <c r="Q82" s="1"/>
      <c r="W82" s="1"/>
    </row>
    <row r="83" spans="1:23" s="21" customFormat="1" ht="12" customHeight="1" x14ac:dyDescent="0.2">
      <c r="A83" s="22" t="s">
        <v>90</v>
      </c>
      <c r="B83" s="116" t="s">
        <v>91</v>
      </c>
      <c r="C83" s="116"/>
      <c r="Q83" s="1"/>
      <c r="W83" s="1"/>
    </row>
    <row r="84" spans="1:23" s="21" customFormat="1" ht="12" customHeight="1" x14ac:dyDescent="0.2">
      <c r="A84" s="22" t="s">
        <v>88</v>
      </c>
      <c r="B84" s="116" t="s">
        <v>89</v>
      </c>
      <c r="C84" s="116"/>
      <c r="Q84" s="1"/>
      <c r="W84" s="1"/>
    </row>
    <row r="85" spans="1:23" s="21" customFormat="1" ht="12" customHeight="1" x14ac:dyDescent="0.2">
      <c r="A85" s="22" t="s">
        <v>86</v>
      </c>
      <c r="B85" s="116" t="s">
        <v>87</v>
      </c>
      <c r="C85" s="116"/>
      <c r="Q85" s="1"/>
      <c r="W85" s="1"/>
    </row>
    <row r="86" spans="1:23" s="21" customFormat="1" ht="12" customHeight="1" x14ac:dyDescent="0.2">
      <c r="A86" s="22" t="s">
        <v>101</v>
      </c>
      <c r="B86" s="116" t="s">
        <v>102</v>
      </c>
      <c r="C86" s="116"/>
      <c r="Q86" s="1"/>
      <c r="W86" s="1"/>
    </row>
    <row r="87" spans="1:23" s="21" customFormat="1" ht="12" customHeight="1" x14ac:dyDescent="0.2">
      <c r="A87" s="22" t="s">
        <v>103</v>
      </c>
      <c r="B87" s="116" t="s">
        <v>104</v>
      </c>
      <c r="C87" s="116"/>
      <c r="Q87" s="1"/>
      <c r="W87" s="1"/>
    </row>
    <row r="88" spans="1:23" s="21" customFormat="1" ht="12" customHeight="1" x14ac:dyDescent="0.2">
      <c r="A88" s="22" t="s">
        <v>105</v>
      </c>
      <c r="B88" s="116" t="s">
        <v>106</v>
      </c>
      <c r="C88" s="116"/>
      <c r="Q88" s="1"/>
      <c r="W88" s="1"/>
    </row>
    <row r="89" spans="1:23" s="21" customFormat="1" ht="12" customHeight="1" x14ac:dyDescent="0.2">
      <c r="Q89" s="1"/>
      <c r="W89" s="1"/>
    </row>
    <row r="90" spans="1:23" s="21" customFormat="1" ht="12" customHeight="1" x14ac:dyDescent="0.2">
      <c r="Q90" s="1"/>
      <c r="W90" s="1"/>
    </row>
    <row r="91" spans="1:23" s="21" customFormat="1" ht="12" customHeight="1" x14ac:dyDescent="0.2">
      <c r="A91" s="114" t="s">
        <v>107</v>
      </c>
      <c r="B91" s="114"/>
      <c r="C91" s="114"/>
      <c r="Q91" s="1"/>
      <c r="W91" s="1"/>
    </row>
    <row r="92" spans="1:23" s="21" customFormat="1" ht="37.9" customHeight="1" x14ac:dyDescent="0.2">
      <c r="A92" s="23" t="s">
        <v>108</v>
      </c>
      <c r="B92" s="113" t="s">
        <v>109</v>
      </c>
      <c r="C92" s="113"/>
      <c r="Q92" s="1"/>
      <c r="W92" s="1"/>
    </row>
    <row r="93" spans="1:23" s="21" customFormat="1" ht="37.9" customHeight="1" x14ac:dyDescent="0.2">
      <c r="A93" s="24" t="s">
        <v>110</v>
      </c>
      <c r="B93" s="113" t="s">
        <v>111</v>
      </c>
      <c r="C93" s="113"/>
      <c r="Q93" s="1"/>
      <c r="W93" s="1"/>
    </row>
    <row r="94" spans="1:23" s="21" customFormat="1" ht="37.9" customHeight="1" x14ac:dyDescent="0.2">
      <c r="A94" s="25" t="s">
        <v>112</v>
      </c>
      <c r="B94" s="113" t="s">
        <v>113</v>
      </c>
      <c r="C94" s="113"/>
      <c r="Q94" s="1"/>
      <c r="W94" s="1"/>
    </row>
    <row r="95" spans="1:23" s="21" customFormat="1" ht="37.9" customHeight="1" x14ac:dyDescent="0.2">
      <c r="A95" s="26" t="s">
        <v>114</v>
      </c>
      <c r="B95" s="113" t="s">
        <v>115</v>
      </c>
      <c r="C95" s="113"/>
      <c r="Q95" s="1"/>
      <c r="W95" s="1"/>
    </row>
    <row r="96" spans="1:23" s="21" customFormat="1" ht="37.9" customHeight="1" x14ac:dyDescent="0.2">
      <c r="A96" s="27" t="s">
        <v>116</v>
      </c>
      <c r="B96" s="113" t="s">
        <v>117</v>
      </c>
      <c r="C96" s="113"/>
      <c r="Q96" s="1"/>
      <c r="W96" s="1"/>
    </row>
    <row r="97" spans="1:23" s="21" customFormat="1" ht="37.9" customHeight="1" x14ac:dyDescent="0.2">
      <c r="A97" s="28" t="s">
        <v>118</v>
      </c>
      <c r="B97" s="113" t="s">
        <v>119</v>
      </c>
      <c r="C97" s="113"/>
      <c r="Q97" s="1"/>
      <c r="W97" s="1"/>
    </row>
    <row r="98" spans="1:23" s="21" customFormat="1" ht="37.9" customHeight="1" x14ac:dyDescent="0.2">
      <c r="A98" s="29" t="s">
        <v>120</v>
      </c>
      <c r="B98" s="113" t="s">
        <v>121</v>
      </c>
      <c r="C98" s="113"/>
      <c r="Q98" s="1"/>
      <c r="W98" s="1"/>
    </row>
    <row r="99" spans="1:23" s="21" customFormat="1" ht="12" customHeight="1" x14ac:dyDescent="0.2">
      <c r="Q99" s="1"/>
      <c r="W99" s="1"/>
    </row>
    <row r="100" spans="1:23" s="21" customFormat="1" ht="12" customHeight="1" x14ac:dyDescent="0.2">
      <c r="W100" s="1"/>
    </row>
    <row r="101" spans="1:23" s="21" customFormat="1" ht="12" customHeight="1" x14ac:dyDescent="0.2">
      <c r="A101" s="114" t="s">
        <v>122</v>
      </c>
      <c r="B101" s="114"/>
      <c r="C101" s="114"/>
      <c r="W101" s="1"/>
    </row>
    <row r="102" spans="1:23" s="21" customFormat="1" ht="12" customHeight="1" x14ac:dyDescent="0.2">
      <c r="A102" s="115" t="s">
        <v>123</v>
      </c>
      <c r="B102" s="115"/>
      <c r="C102" s="115"/>
      <c r="Q102" s="1"/>
      <c r="W102" s="1"/>
    </row>
    <row r="103" spans="1:23" s="21" customFormat="1" ht="12" customHeight="1" x14ac:dyDescent="0.2">
      <c r="A103" s="30"/>
    </row>
    <row r="104" spans="1:23" ht="12" customHeight="1" x14ac:dyDescent="0.2">
      <c r="A104" s="31"/>
      <c r="B104" s="32"/>
    </row>
    <row r="105" spans="1:23" ht="12" customHeight="1" x14ac:dyDescent="0.2">
      <c r="A105" s="33"/>
      <c r="B105" s="32"/>
    </row>
    <row r="106" spans="1:23" ht="12" customHeight="1" x14ac:dyDescent="0.2">
      <c r="B106" s="33"/>
      <c r="C106" s="32"/>
    </row>
    <row r="107" spans="1:23" ht="12" customHeight="1" x14ac:dyDescent="0.2">
      <c r="A107" s="33"/>
      <c r="B107" s="32"/>
    </row>
    <row r="108" spans="1:23" ht="12" customHeight="1" x14ac:dyDescent="0.2">
      <c r="C108" s="32"/>
    </row>
    <row r="109" spans="1:23" x14ac:dyDescent="0.2">
      <c r="C109" s="32"/>
    </row>
    <row r="110" spans="1:23" x14ac:dyDescent="0.2">
      <c r="C110" s="32"/>
    </row>
    <row r="111" spans="1:23" x14ac:dyDescent="0.2">
      <c r="B111" s="33"/>
      <c r="C111" s="32"/>
    </row>
    <row r="112" spans="1:23" x14ac:dyDescent="0.2">
      <c r="A112" s="31"/>
      <c r="B112" s="32"/>
    </row>
    <row r="113" spans="1:2" x14ac:dyDescent="0.2">
      <c r="A113" s="31"/>
      <c r="B113" s="32"/>
    </row>
    <row r="114" spans="1:2" x14ac:dyDescent="0.2">
      <c r="A114" s="34"/>
      <c r="B114" s="32"/>
    </row>
    <row r="115" spans="1:2" x14ac:dyDescent="0.2">
      <c r="A115" s="34"/>
      <c r="B115" s="32"/>
    </row>
    <row r="116" spans="1:2" x14ac:dyDescent="0.2">
      <c r="A116" s="33"/>
      <c r="B116" s="32"/>
    </row>
    <row r="117" spans="1:2" x14ac:dyDescent="0.2">
      <c r="A117" s="33"/>
      <c r="B117" s="32"/>
    </row>
    <row r="118" spans="1:2" x14ac:dyDescent="0.2">
      <c r="A118" s="33"/>
    </row>
    <row r="119" spans="1:2" x14ac:dyDescent="0.2">
      <c r="A119" s="33"/>
    </row>
    <row r="120" spans="1:2" x14ac:dyDescent="0.2">
      <c r="A120" s="33"/>
    </row>
    <row r="121" spans="1:2" x14ac:dyDescent="0.2">
      <c r="A121" s="33"/>
    </row>
    <row r="122" spans="1:2" x14ac:dyDescent="0.2">
      <c r="A122" s="33"/>
    </row>
    <row r="123" spans="1:2" x14ac:dyDescent="0.2">
      <c r="A123" s="33"/>
    </row>
    <row r="124" spans="1:2" x14ac:dyDescent="0.2">
      <c r="A124" s="33"/>
    </row>
    <row r="125" spans="1:2" x14ac:dyDescent="0.2">
      <c r="A125" s="33"/>
    </row>
    <row r="126" spans="1:2" x14ac:dyDescent="0.2">
      <c r="A126" s="33"/>
    </row>
    <row r="127" spans="1:2" x14ac:dyDescent="0.2">
      <c r="A127" s="33"/>
    </row>
    <row r="129" spans="1:1" x14ac:dyDescent="0.2">
      <c r="A129" s="33"/>
    </row>
    <row r="130" spans="1:1" x14ac:dyDescent="0.2">
      <c r="A130" s="33"/>
    </row>
    <row r="133" spans="1:1" x14ac:dyDescent="0.2">
      <c r="A133" s="33"/>
    </row>
  </sheetData>
  <mergeCells count="74">
    <mergeCell ref="A3:C3"/>
    <mergeCell ref="A4:C4"/>
    <mergeCell ref="A5:C5"/>
    <mergeCell ref="A7:C7"/>
    <mergeCell ref="A9:C9"/>
    <mergeCell ref="B10:C10"/>
    <mergeCell ref="A11:A19"/>
    <mergeCell ref="B20:C20"/>
    <mergeCell ref="B21:C21"/>
    <mergeCell ref="B22:C22"/>
    <mergeCell ref="B23:C23"/>
    <mergeCell ref="B24:C24"/>
    <mergeCell ref="B25:C25"/>
    <mergeCell ref="B26:C26"/>
    <mergeCell ref="B27:C27"/>
    <mergeCell ref="B28:C28"/>
    <mergeCell ref="B29:C29"/>
    <mergeCell ref="A32:C32"/>
    <mergeCell ref="B33:C33"/>
    <mergeCell ref="B34:C34"/>
    <mergeCell ref="B35:C35"/>
    <mergeCell ref="A38:C38"/>
    <mergeCell ref="B39:C39"/>
    <mergeCell ref="B40:C40"/>
    <mergeCell ref="B41:C41"/>
    <mergeCell ref="B42:C42"/>
    <mergeCell ref="B43:C43"/>
    <mergeCell ref="B44:C44"/>
    <mergeCell ref="B45:C45"/>
    <mergeCell ref="A48:C48"/>
    <mergeCell ref="B49:C49"/>
    <mergeCell ref="B50:C50"/>
    <mergeCell ref="B51:C51"/>
    <mergeCell ref="B52:C52"/>
    <mergeCell ref="B53:C53"/>
    <mergeCell ref="B54:C54"/>
    <mergeCell ref="B55:C55"/>
    <mergeCell ref="B56:C56"/>
    <mergeCell ref="B57:C57"/>
    <mergeCell ref="A60:C60"/>
    <mergeCell ref="B61:C61"/>
    <mergeCell ref="B62:C62"/>
    <mergeCell ref="B63:C63"/>
    <mergeCell ref="B64:C64"/>
    <mergeCell ref="B65:C65"/>
    <mergeCell ref="A68:C68"/>
    <mergeCell ref="B69:C69"/>
    <mergeCell ref="B70:C70"/>
    <mergeCell ref="B71:C71"/>
    <mergeCell ref="B72:C72"/>
    <mergeCell ref="B73:C73"/>
    <mergeCell ref="B74:C74"/>
    <mergeCell ref="B75:C75"/>
    <mergeCell ref="A78:C78"/>
    <mergeCell ref="B79:C79"/>
    <mergeCell ref="B80:C80"/>
    <mergeCell ref="B81:C81"/>
    <mergeCell ref="B82:C82"/>
    <mergeCell ref="B83:C83"/>
    <mergeCell ref="B84:C84"/>
    <mergeCell ref="B85:C85"/>
    <mergeCell ref="B86:C86"/>
    <mergeCell ref="B87:C87"/>
    <mergeCell ref="B88:C88"/>
    <mergeCell ref="A91:C91"/>
    <mergeCell ref="B97:C97"/>
    <mergeCell ref="B98:C98"/>
    <mergeCell ref="A101:C101"/>
    <mergeCell ref="A102:C102"/>
    <mergeCell ref="B92:C92"/>
    <mergeCell ref="B93:C93"/>
    <mergeCell ref="B94:C94"/>
    <mergeCell ref="B95:C95"/>
    <mergeCell ref="B96:C96"/>
  </mergeCells>
  <conditionalFormatting sqref="A79:A88">
    <cfRule type="cellIs" dxfId="288" priority="2" operator="equal">
      <formula>"Minor"</formula>
    </cfRule>
    <cfRule type="cellIs" dxfId="287" priority="3" operator="equal">
      <formula>"Not implemented"</formula>
    </cfRule>
    <cfRule type="cellIs" dxfId="286" priority="4" operator="equal">
      <formula>"Not tested"</formula>
    </cfRule>
    <cfRule type="cellIs" dxfId="285" priority="5" operator="equal">
      <formula>"Not available"</formula>
    </cfRule>
    <cfRule type="cellIs" dxfId="284" priority="6" operator="equal">
      <formula>"Critical"</formula>
    </cfRule>
    <cfRule type="cellIs" dxfId="283" priority="7" operator="equal">
      <formula>"Major"</formula>
    </cfRule>
    <cfRule type="cellIs" dxfId="282" priority="8" operator="equal">
      <formula>"Average"</formula>
    </cfRule>
    <cfRule type="cellIs" dxfId="281" priority="9" operator="equal">
      <formula>"OK"</formula>
    </cfRule>
    <cfRule type="cellIs" dxfId="280" priority="10" operator="equal">
      <formula>"Enhancement"</formula>
    </cfRule>
    <cfRule type="cellIs" dxfId="279" priority="11" operator="equal">
      <formula>"Partially tested"</formula>
    </cfRule>
  </conditionalFormatting>
  <pageMargins left="0.75" right="0.75" top="1" bottom="1" header="0.51180555555555496" footer="0.51180555555555496"/>
  <pageSetup firstPageNumber="0"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09"/>
  <sheetViews>
    <sheetView zoomScale="130" zoomScaleNormal="130" workbookViewId="0">
      <pane xSplit="1" ySplit="3" topLeftCell="D4" activePane="bottomRight" state="frozen"/>
      <selection pane="topRight" activeCell="D1" sqref="D1"/>
      <selection pane="bottomLeft" activeCell="A4" sqref="A4"/>
      <selection pane="bottomRight" activeCell="A8" sqref="A8"/>
    </sheetView>
  </sheetViews>
  <sheetFormatPr defaultRowHeight="12.75" outlineLevelRow="1" x14ac:dyDescent="0.2"/>
  <cols>
    <col min="1" max="1" width="25.7109375" style="21" customWidth="1"/>
    <col min="2" max="11" width="16.7109375" style="21" customWidth="1"/>
    <col min="12" max="12" width="16.7109375" style="35" customWidth="1"/>
    <col min="13" max="14" width="16.7109375" style="21" customWidth="1"/>
    <col min="15" max="1025" width="9.140625" style="21" customWidth="1"/>
  </cols>
  <sheetData>
    <row r="1" spans="1:14" s="4" customFormat="1" ht="48.95" customHeight="1" x14ac:dyDescent="0.2">
      <c r="A1" s="2" t="s">
        <v>0</v>
      </c>
      <c r="B1" s="3"/>
      <c r="C1" s="3"/>
      <c r="D1" s="3"/>
      <c r="E1" s="3"/>
      <c r="F1" s="3"/>
      <c r="J1" s="5"/>
    </row>
    <row r="2" spans="1:14" s="38" customFormat="1" ht="12" customHeight="1" x14ac:dyDescent="0.2">
      <c r="A2" s="36" t="s">
        <v>5</v>
      </c>
      <c r="B2" s="37"/>
      <c r="C2" s="37"/>
      <c r="D2" s="37"/>
      <c r="E2" s="37"/>
      <c r="F2" s="37"/>
      <c r="G2" s="37"/>
      <c r="H2" s="37"/>
      <c r="I2" s="37"/>
      <c r="J2" s="37"/>
      <c r="N2" s="39" t="s">
        <v>124</v>
      </c>
    </row>
    <row r="3" spans="1:14" ht="12" customHeight="1" x14ac:dyDescent="0.2">
      <c r="A3" s="40" t="s">
        <v>125</v>
      </c>
      <c r="B3" s="41" t="s">
        <v>126</v>
      </c>
      <c r="C3" s="41" t="s">
        <v>127</v>
      </c>
      <c r="D3" s="41" t="s">
        <v>128</v>
      </c>
      <c r="E3" s="41" t="s">
        <v>129</v>
      </c>
      <c r="F3" s="41" t="s">
        <v>130</v>
      </c>
      <c r="G3" s="41" t="s">
        <v>131</v>
      </c>
      <c r="H3" s="41" t="s">
        <v>132</v>
      </c>
      <c r="I3" s="41" t="s">
        <v>133</v>
      </c>
      <c r="J3" s="41" t="s">
        <v>134</v>
      </c>
      <c r="N3" s="42">
        <v>3</v>
      </c>
    </row>
    <row r="4" spans="1:14" ht="12" customHeight="1" x14ac:dyDescent="0.2">
      <c r="A4" s="40" t="s">
        <v>8</v>
      </c>
      <c r="B4" s="41" t="s">
        <v>13</v>
      </c>
      <c r="C4" s="41" t="s">
        <v>17</v>
      </c>
      <c r="D4" s="41" t="s">
        <v>9</v>
      </c>
      <c r="E4" s="41" t="s">
        <v>19</v>
      </c>
      <c r="F4" s="41" t="s">
        <v>11</v>
      </c>
      <c r="G4" s="41" t="s">
        <v>15</v>
      </c>
      <c r="H4" s="41" t="s">
        <v>21</v>
      </c>
      <c r="I4" s="41" t="s">
        <v>21</v>
      </c>
      <c r="J4" s="41" t="s">
        <v>17</v>
      </c>
      <c r="N4" s="42">
        <v>3</v>
      </c>
    </row>
    <row r="5" spans="1:14" ht="12" customHeight="1" x14ac:dyDescent="0.2">
      <c r="A5" s="40" t="s">
        <v>24</v>
      </c>
      <c r="B5" s="43" t="s">
        <v>135</v>
      </c>
      <c r="C5" s="43">
        <v>41191</v>
      </c>
      <c r="D5" s="43">
        <v>41213</v>
      </c>
      <c r="E5" s="43">
        <v>41214</v>
      </c>
      <c r="F5" s="43">
        <v>41215</v>
      </c>
      <c r="G5" s="43">
        <v>41216</v>
      </c>
      <c r="H5" s="43">
        <v>41217</v>
      </c>
      <c r="I5" s="43">
        <v>41218</v>
      </c>
      <c r="J5" s="43">
        <v>41219</v>
      </c>
      <c r="N5" s="42">
        <v>3</v>
      </c>
    </row>
    <row r="6" spans="1:14" ht="12" customHeight="1" x14ac:dyDescent="0.2">
      <c r="A6" s="40" t="s">
        <v>26</v>
      </c>
      <c r="B6" s="43" t="s">
        <v>136</v>
      </c>
      <c r="C6" s="44" t="s">
        <v>137</v>
      </c>
      <c r="D6" s="44" t="s">
        <v>138</v>
      </c>
      <c r="E6" s="44" t="s">
        <v>136</v>
      </c>
      <c r="F6" s="44" t="s">
        <v>136</v>
      </c>
      <c r="G6" s="44" t="s">
        <v>136</v>
      </c>
      <c r="H6" s="44" t="s">
        <v>139</v>
      </c>
      <c r="I6" s="44" t="s">
        <v>136</v>
      </c>
      <c r="J6" s="44" t="s">
        <v>140</v>
      </c>
      <c r="N6" s="42"/>
    </row>
    <row r="7" spans="1:14" ht="12" customHeight="1" x14ac:dyDescent="0.2">
      <c r="A7" s="40" t="s">
        <v>28</v>
      </c>
      <c r="B7" s="43" t="s">
        <v>141</v>
      </c>
      <c r="C7" s="44" t="s">
        <v>141</v>
      </c>
      <c r="D7" s="44" t="s">
        <v>141</v>
      </c>
      <c r="E7" s="44" t="s">
        <v>141</v>
      </c>
      <c r="F7" s="44" t="s">
        <v>141</v>
      </c>
      <c r="G7" s="44" t="s">
        <v>141</v>
      </c>
      <c r="H7" s="44" t="s">
        <v>142</v>
      </c>
      <c r="I7" s="44" t="s">
        <v>141</v>
      </c>
      <c r="J7" s="44" t="s">
        <v>143</v>
      </c>
      <c r="N7" s="45"/>
    </row>
    <row r="8" spans="1:14" ht="12" customHeight="1" x14ac:dyDescent="0.2">
      <c r="A8" s="40" t="s">
        <v>30</v>
      </c>
      <c r="B8" s="41" t="s">
        <v>144</v>
      </c>
      <c r="C8" s="41" t="s">
        <v>144</v>
      </c>
      <c r="D8" s="41" t="s">
        <v>144</v>
      </c>
      <c r="E8" s="41" t="s">
        <v>144</v>
      </c>
      <c r="F8" s="41" t="s">
        <v>144</v>
      </c>
      <c r="G8" s="41" t="s">
        <v>144</v>
      </c>
      <c r="H8" s="41" t="s">
        <v>145</v>
      </c>
      <c r="I8" s="41" t="s">
        <v>146</v>
      </c>
      <c r="J8" s="41" t="s">
        <v>147</v>
      </c>
      <c r="N8" s="45"/>
    </row>
    <row r="9" spans="1:14" ht="12" customHeight="1" x14ac:dyDescent="0.2">
      <c r="A9" s="40" t="s">
        <v>148</v>
      </c>
      <c r="B9" s="41">
        <v>100</v>
      </c>
      <c r="C9" s="41">
        <v>100</v>
      </c>
      <c r="D9" s="41">
        <v>100</v>
      </c>
      <c r="E9" s="41">
        <v>100</v>
      </c>
      <c r="F9" s="41">
        <v>100</v>
      </c>
      <c r="G9" s="41">
        <v>300</v>
      </c>
      <c r="H9" s="41">
        <v>300</v>
      </c>
      <c r="I9" s="41">
        <v>300</v>
      </c>
      <c r="J9" s="41">
        <v>100</v>
      </c>
      <c r="N9" s="45"/>
    </row>
    <row r="10" spans="1:14" ht="12" customHeight="1" x14ac:dyDescent="0.2">
      <c r="A10" s="40" t="s">
        <v>34</v>
      </c>
      <c r="B10" s="46" t="s">
        <v>116</v>
      </c>
      <c r="C10" s="46" t="s">
        <v>112</v>
      </c>
      <c r="D10" s="46" t="s">
        <v>118</v>
      </c>
      <c r="E10" s="46" t="s">
        <v>110</v>
      </c>
      <c r="F10" s="46" t="s">
        <v>112</v>
      </c>
      <c r="G10" s="46" t="s">
        <v>116</v>
      </c>
      <c r="H10" s="46" t="s">
        <v>112</v>
      </c>
      <c r="I10" s="46" t="s">
        <v>108</v>
      </c>
      <c r="J10" s="46" t="s">
        <v>114</v>
      </c>
      <c r="N10" s="42">
        <v>3</v>
      </c>
    </row>
    <row r="11" spans="1:14" ht="12" customHeight="1" x14ac:dyDescent="0.2">
      <c r="A11" s="47" t="s">
        <v>36</v>
      </c>
      <c r="B11" s="48">
        <f t="shared" ref="B11:J11" si="0">ROUND(EXP(-1*(100*B51+20*B52+4*B53+2*B54+1*B55)/B9),3)</f>
        <v>6.8000000000000005E-2</v>
      </c>
      <c r="C11" s="48">
        <f t="shared" si="0"/>
        <v>0.92300000000000004</v>
      </c>
      <c r="D11" s="48">
        <f t="shared" si="0"/>
        <v>0.14399999999999999</v>
      </c>
      <c r="E11" s="48">
        <f t="shared" si="0"/>
        <v>0.20200000000000001</v>
      </c>
      <c r="F11" s="48">
        <f t="shared" si="0"/>
        <v>2.5999999999999999E-2</v>
      </c>
      <c r="G11" s="48">
        <f t="shared" si="0"/>
        <v>0.55200000000000005</v>
      </c>
      <c r="H11" s="48">
        <f t="shared" si="0"/>
        <v>0.64</v>
      </c>
      <c r="I11" s="48">
        <f t="shared" si="0"/>
        <v>0.76100000000000001</v>
      </c>
      <c r="J11" s="48">
        <f t="shared" si="0"/>
        <v>4.4999999999999998E-2</v>
      </c>
      <c r="N11" s="42">
        <v>3</v>
      </c>
    </row>
    <row r="12" spans="1:14" ht="12" customHeight="1" x14ac:dyDescent="0.2">
      <c r="A12" s="40" t="s">
        <v>38</v>
      </c>
      <c r="B12" s="49">
        <v>52</v>
      </c>
      <c r="C12" s="50" t="s">
        <v>149</v>
      </c>
      <c r="D12" s="49">
        <v>27</v>
      </c>
      <c r="E12" s="49">
        <v>19</v>
      </c>
      <c r="F12" s="49">
        <v>22</v>
      </c>
      <c r="G12" s="49">
        <v>16</v>
      </c>
      <c r="H12" s="49">
        <v>23</v>
      </c>
      <c r="I12" s="49">
        <v>13</v>
      </c>
      <c r="J12" s="49">
        <v>5</v>
      </c>
      <c r="N12" s="42">
        <v>3</v>
      </c>
    </row>
    <row r="13" spans="1:14" ht="12" customHeight="1" x14ac:dyDescent="0.2">
      <c r="A13" s="40" t="s">
        <v>40</v>
      </c>
      <c r="B13" s="41">
        <v>52</v>
      </c>
      <c r="C13" s="51" t="s">
        <v>149</v>
      </c>
      <c r="D13" s="41">
        <v>10</v>
      </c>
      <c r="E13" s="41">
        <v>11</v>
      </c>
      <c r="F13" s="41">
        <v>12</v>
      </c>
      <c r="G13" s="41">
        <v>13</v>
      </c>
      <c r="H13" s="41">
        <v>14</v>
      </c>
      <c r="I13" s="41">
        <v>15</v>
      </c>
      <c r="J13" s="41">
        <v>6</v>
      </c>
      <c r="N13" s="45"/>
    </row>
    <row r="14" spans="1:14" ht="12" customHeight="1" x14ac:dyDescent="0.2">
      <c r="A14" s="40" t="s">
        <v>42</v>
      </c>
      <c r="B14" s="52"/>
      <c r="C14" s="52"/>
      <c r="D14" s="52"/>
      <c r="E14" s="52"/>
      <c r="F14" s="52"/>
      <c r="G14" s="52"/>
      <c r="H14" s="52"/>
      <c r="I14" s="52"/>
      <c r="J14" s="52"/>
      <c r="N14" s="45"/>
    </row>
    <row r="15" spans="1:14" ht="12" customHeight="1" x14ac:dyDescent="0.2">
      <c r="A15" s="53"/>
      <c r="B15" s="54"/>
      <c r="C15" s="54"/>
      <c r="D15" s="54"/>
      <c r="E15" s="54"/>
      <c r="F15" s="54"/>
      <c r="G15" s="54"/>
      <c r="H15" s="54"/>
      <c r="I15" s="54"/>
      <c r="J15" s="54"/>
      <c r="N15" s="45"/>
    </row>
    <row r="16" spans="1:14" ht="12" customHeight="1" x14ac:dyDescent="0.2">
      <c r="A16" s="55" t="s">
        <v>150</v>
      </c>
      <c r="B16" s="56"/>
      <c r="C16" s="56"/>
      <c r="D16" s="56"/>
      <c r="E16" s="56"/>
      <c r="F16" s="56"/>
      <c r="G16" s="56"/>
      <c r="H16" s="56"/>
      <c r="I16" s="56"/>
      <c r="J16" s="57"/>
      <c r="N16" s="45"/>
    </row>
    <row r="17" spans="1:14" ht="12" customHeight="1" x14ac:dyDescent="0.2">
      <c r="A17" s="53"/>
      <c r="B17" s="54"/>
      <c r="C17" s="54"/>
      <c r="D17" s="54"/>
      <c r="E17" s="54"/>
      <c r="F17" s="54"/>
      <c r="G17" s="54"/>
      <c r="H17" s="54"/>
      <c r="I17" s="54"/>
      <c r="J17" s="54"/>
      <c r="N17" s="45"/>
    </row>
    <row r="18" spans="1:14" ht="12" customHeight="1" x14ac:dyDescent="0.2">
      <c r="A18" s="58" t="s">
        <v>151</v>
      </c>
      <c r="B18" s="37"/>
      <c r="C18" s="37"/>
      <c r="D18" s="37"/>
      <c r="E18" s="37"/>
      <c r="F18" s="37"/>
      <c r="G18" s="37"/>
      <c r="H18" s="37"/>
      <c r="I18" s="37"/>
      <c r="J18" s="37"/>
      <c r="N18" s="45"/>
    </row>
    <row r="19" spans="1:14" ht="12" hidden="1" customHeight="1" outlineLevel="1" x14ac:dyDescent="0.2">
      <c r="A19" s="40" t="s">
        <v>40</v>
      </c>
      <c r="B19" s="49">
        <v>46</v>
      </c>
      <c r="C19" s="50" t="s">
        <v>149</v>
      </c>
      <c r="D19" s="49">
        <v>10</v>
      </c>
      <c r="E19" s="49">
        <v>10</v>
      </c>
      <c r="F19" s="49">
        <v>10</v>
      </c>
      <c r="G19" s="49">
        <v>10</v>
      </c>
      <c r="H19" s="49">
        <v>10</v>
      </c>
      <c r="I19" s="49">
        <v>10</v>
      </c>
      <c r="J19" s="49">
        <v>10</v>
      </c>
      <c r="N19" s="45"/>
    </row>
    <row r="20" spans="1:14" ht="12" hidden="1" customHeight="1" outlineLevel="1" x14ac:dyDescent="0.2">
      <c r="A20" s="40" t="s">
        <v>46</v>
      </c>
      <c r="B20" s="41">
        <v>8</v>
      </c>
      <c r="C20" s="51" t="s">
        <v>149</v>
      </c>
      <c r="D20" s="41">
        <v>0</v>
      </c>
      <c r="E20" s="41">
        <v>0</v>
      </c>
      <c r="F20" s="41">
        <v>0</v>
      </c>
      <c r="G20" s="41">
        <v>0</v>
      </c>
      <c r="H20" s="41">
        <v>0</v>
      </c>
      <c r="I20" s="41">
        <v>0</v>
      </c>
      <c r="J20" s="41">
        <v>0</v>
      </c>
      <c r="N20" s="45"/>
    </row>
    <row r="21" spans="1:14" ht="12" hidden="1" customHeight="1" outlineLevel="1" x14ac:dyDescent="0.2">
      <c r="A21" s="40" t="s">
        <v>42</v>
      </c>
      <c r="B21" s="41"/>
      <c r="C21" s="41"/>
      <c r="D21" s="41"/>
      <c r="E21" s="41"/>
      <c r="F21" s="41"/>
      <c r="G21" s="41"/>
      <c r="H21" s="41"/>
      <c r="I21" s="41"/>
      <c r="J21" s="41"/>
      <c r="N21" s="45"/>
    </row>
    <row r="22" spans="1:14" ht="12" customHeight="1" collapsed="1" x14ac:dyDescent="0.2">
      <c r="A22" s="53"/>
      <c r="B22" s="54"/>
      <c r="C22" s="54"/>
      <c r="D22" s="54"/>
      <c r="E22" s="54"/>
      <c r="F22" s="54"/>
      <c r="G22" s="54"/>
      <c r="H22" s="54"/>
      <c r="I22" s="54"/>
      <c r="J22" s="54"/>
      <c r="N22" s="45"/>
    </row>
    <row r="23" spans="1:14" ht="12" customHeight="1" x14ac:dyDescent="0.2">
      <c r="A23" s="58" t="s">
        <v>152</v>
      </c>
      <c r="B23" s="37"/>
      <c r="C23" s="37"/>
      <c r="D23" s="37"/>
      <c r="E23" s="37"/>
      <c r="F23" s="37"/>
      <c r="G23" s="37"/>
      <c r="H23" s="37"/>
      <c r="I23" s="37"/>
      <c r="J23" s="37"/>
      <c r="N23" s="42">
        <v>3</v>
      </c>
    </row>
    <row r="24" spans="1:14" ht="12" customHeight="1" x14ac:dyDescent="0.2">
      <c r="A24" s="40" t="s">
        <v>49</v>
      </c>
      <c r="B24" s="41">
        <v>32</v>
      </c>
      <c r="C24" s="41">
        <v>5</v>
      </c>
      <c r="D24" s="41">
        <v>19</v>
      </c>
      <c r="E24" s="41">
        <v>11</v>
      </c>
      <c r="F24" s="41">
        <v>13</v>
      </c>
      <c r="G24" s="41">
        <v>8</v>
      </c>
      <c r="H24" s="41">
        <v>15</v>
      </c>
      <c r="I24" s="41">
        <v>5</v>
      </c>
      <c r="J24" s="41">
        <v>8</v>
      </c>
      <c r="N24" s="45"/>
    </row>
    <row r="25" spans="1:14" ht="12" customHeight="1" x14ac:dyDescent="0.2">
      <c r="A25" s="40" t="s">
        <v>51</v>
      </c>
      <c r="B25" s="41">
        <v>2</v>
      </c>
      <c r="C25" s="41">
        <v>0</v>
      </c>
      <c r="D25" s="41">
        <v>0</v>
      </c>
      <c r="E25" s="41">
        <v>0</v>
      </c>
      <c r="F25" s="41">
        <v>0</v>
      </c>
      <c r="G25" s="41">
        <v>0</v>
      </c>
      <c r="H25" s="41">
        <v>0</v>
      </c>
      <c r="I25" s="41">
        <v>0</v>
      </c>
      <c r="J25" s="41">
        <v>0</v>
      </c>
      <c r="N25" s="45"/>
    </row>
    <row r="26" spans="1:14" ht="12" customHeight="1" x14ac:dyDescent="0.2">
      <c r="A26" s="40" t="s">
        <v>53</v>
      </c>
      <c r="B26" s="41">
        <v>15</v>
      </c>
      <c r="C26" s="41">
        <v>0</v>
      </c>
      <c r="D26" s="41">
        <v>5</v>
      </c>
      <c r="E26" s="41">
        <v>5</v>
      </c>
      <c r="F26" s="41">
        <v>6</v>
      </c>
      <c r="G26" s="41">
        <v>5</v>
      </c>
      <c r="H26" s="41">
        <v>5</v>
      </c>
      <c r="I26" s="41">
        <v>5</v>
      </c>
      <c r="J26" s="41">
        <v>10</v>
      </c>
      <c r="N26" s="45"/>
    </row>
    <row r="27" spans="1:14" ht="12" customHeight="1" x14ac:dyDescent="0.2">
      <c r="A27" s="59" t="s">
        <v>55</v>
      </c>
      <c r="B27" s="41">
        <v>3</v>
      </c>
      <c r="C27" s="41">
        <v>3</v>
      </c>
      <c r="D27" s="41">
        <v>3</v>
      </c>
      <c r="E27" s="41">
        <v>3</v>
      </c>
      <c r="F27" s="41">
        <v>3</v>
      </c>
      <c r="G27" s="41">
        <v>3</v>
      </c>
      <c r="H27" s="41">
        <v>3</v>
      </c>
      <c r="I27" s="41">
        <v>3</v>
      </c>
      <c r="J27" s="41">
        <v>44</v>
      </c>
      <c r="N27" s="45"/>
    </row>
    <row r="28" spans="1:14" ht="12" customHeight="1" x14ac:dyDescent="0.2">
      <c r="A28" s="59" t="s">
        <v>57</v>
      </c>
      <c r="B28" s="41">
        <v>0</v>
      </c>
      <c r="C28" s="41">
        <v>0</v>
      </c>
      <c r="D28" s="41">
        <v>0</v>
      </c>
      <c r="E28" s="41">
        <v>0</v>
      </c>
      <c r="F28" s="41">
        <v>0</v>
      </c>
      <c r="G28" s="41">
        <v>0</v>
      </c>
      <c r="H28" s="41">
        <v>0</v>
      </c>
      <c r="I28" s="41">
        <v>0</v>
      </c>
      <c r="J28" s="41">
        <v>0</v>
      </c>
      <c r="N28" s="45"/>
    </row>
    <row r="29" spans="1:14" ht="12" customHeight="1" x14ac:dyDescent="0.2">
      <c r="A29" s="40" t="s">
        <v>59</v>
      </c>
      <c r="B29" s="49">
        <f t="shared" ref="B29:J29" si="1">SUM(B24:B28)</f>
        <v>52</v>
      </c>
      <c r="C29" s="49">
        <f t="shared" si="1"/>
        <v>8</v>
      </c>
      <c r="D29" s="49">
        <f t="shared" si="1"/>
        <v>27</v>
      </c>
      <c r="E29" s="49">
        <f t="shared" si="1"/>
        <v>19</v>
      </c>
      <c r="F29" s="49">
        <f t="shared" si="1"/>
        <v>22</v>
      </c>
      <c r="G29" s="49">
        <f t="shared" si="1"/>
        <v>16</v>
      </c>
      <c r="H29" s="49">
        <f t="shared" si="1"/>
        <v>23</v>
      </c>
      <c r="I29" s="49">
        <f t="shared" si="1"/>
        <v>13</v>
      </c>
      <c r="J29" s="49">
        <f t="shared" si="1"/>
        <v>62</v>
      </c>
      <c r="N29" s="45"/>
    </row>
    <row r="30" spans="1:14" ht="12" customHeight="1" x14ac:dyDescent="0.2">
      <c r="A30" s="40" t="s">
        <v>42</v>
      </c>
      <c r="B30" s="41"/>
      <c r="C30" s="41"/>
      <c r="D30" s="41"/>
      <c r="E30" s="41"/>
      <c r="F30" s="41"/>
      <c r="G30" s="41"/>
      <c r="H30" s="41"/>
      <c r="I30" s="41"/>
      <c r="J30" s="41"/>
      <c r="N30" s="45"/>
    </row>
    <row r="31" spans="1:14" ht="12" customHeight="1" x14ac:dyDescent="0.2">
      <c r="A31" s="53"/>
      <c r="B31" s="54"/>
      <c r="C31" s="54"/>
      <c r="D31" s="54"/>
      <c r="E31" s="54"/>
      <c r="F31" s="54"/>
      <c r="G31" s="54"/>
      <c r="H31" s="54"/>
      <c r="I31" s="54"/>
      <c r="J31" s="54"/>
      <c r="N31" s="45"/>
    </row>
    <row r="32" spans="1:14" ht="12" customHeight="1" x14ac:dyDescent="0.2">
      <c r="A32" s="58" t="s">
        <v>153</v>
      </c>
      <c r="B32" s="37"/>
      <c r="C32" s="37"/>
      <c r="D32" s="37"/>
      <c r="E32" s="37"/>
      <c r="F32" s="37"/>
      <c r="G32" s="37"/>
      <c r="H32" s="37"/>
      <c r="I32" s="37"/>
      <c r="J32" s="37"/>
      <c r="N32" s="42">
        <v>3</v>
      </c>
    </row>
    <row r="33" spans="1:14" ht="12" hidden="1" customHeight="1" outlineLevel="1" x14ac:dyDescent="0.2">
      <c r="A33" s="40" t="s">
        <v>62</v>
      </c>
      <c r="B33" s="50" t="s">
        <v>149</v>
      </c>
      <c r="C33" s="49">
        <v>49</v>
      </c>
      <c r="D33" s="50" t="s">
        <v>149</v>
      </c>
      <c r="E33" s="50" t="s">
        <v>149</v>
      </c>
      <c r="F33" s="50" t="s">
        <v>149</v>
      </c>
      <c r="G33" s="50" t="s">
        <v>149</v>
      </c>
      <c r="H33" s="50" t="s">
        <v>149</v>
      </c>
      <c r="I33" s="50" t="s">
        <v>149</v>
      </c>
      <c r="J33" s="50" t="s">
        <v>149</v>
      </c>
      <c r="N33" s="45"/>
    </row>
    <row r="34" spans="1:14" ht="12" hidden="1" customHeight="1" outlineLevel="1" x14ac:dyDescent="0.2">
      <c r="A34" s="40" t="s">
        <v>64</v>
      </c>
      <c r="B34" s="51" t="s">
        <v>149</v>
      </c>
      <c r="C34" s="41">
        <v>0</v>
      </c>
      <c r="D34" s="51" t="s">
        <v>149</v>
      </c>
      <c r="E34" s="51" t="s">
        <v>149</v>
      </c>
      <c r="F34" s="51" t="s">
        <v>149</v>
      </c>
      <c r="G34" s="51" t="s">
        <v>149</v>
      </c>
      <c r="H34" s="51" t="s">
        <v>149</v>
      </c>
      <c r="I34" s="51" t="s">
        <v>149</v>
      </c>
      <c r="J34" s="51" t="s">
        <v>149</v>
      </c>
      <c r="N34" s="45"/>
    </row>
    <row r="35" spans="1:14" ht="12" hidden="1" customHeight="1" outlineLevel="1" x14ac:dyDescent="0.2">
      <c r="A35" s="40" t="s">
        <v>66</v>
      </c>
      <c r="B35" s="51" t="s">
        <v>149</v>
      </c>
      <c r="C35" s="41">
        <v>0</v>
      </c>
      <c r="D35" s="51" t="s">
        <v>149</v>
      </c>
      <c r="E35" s="51" t="s">
        <v>149</v>
      </c>
      <c r="F35" s="51" t="s">
        <v>149</v>
      </c>
      <c r="G35" s="51" t="s">
        <v>149</v>
      </c>
      <c r="H35" s="51" t="s">
        <v>149</v>
      </c>
      <c r="I35" s="51" t="s">
        <v>149</v>
      </c>
      <c r="J35" s="51" t="s">
        <v>149</v>
      </c>
      <c r="N35" s="45"/>
    </row>
    <row r="36" spans="1:14" ht="12" hidden="1" customHeight="1" outlineLevel="1" x14ac:dyDescent="0.2">
      <c r="A36" s="40" t="s">
        <v>68</v>
      </c>
      <c r="B36" s="51" t="s">
        <v>149</v>
      </c>
      <c r="C36" s="41">
        <v>1</v>
      </c>
      <c r="D36" s="51" t="s">
        <v>149</v>
      </c>
      <c r="E36" s="51" t="s">
        <v>149</v>
      </c>
      <c r="F36" s="51" t="s">
        <v>149</v>
      </c>
      <c r="G36" s="51" t="s">
        <v>149</v>
      </c>
      <c r="H36" s="51" t="s">
        <v>149</v>
      </c>
      <c r="I36" s="51" t="s">
        <v>149</v>
      </c>
      <c r="J36" s="51" t="s">
        <v>149</v>
      </c>
      <c r="N36" s="45"/>
    </row>
    <row r="37" spans="1:14" ht="12" hidden="1" customHeight="1" outlineLevel="1" x14ac:dyDescent="0.2">
      <c r="A37" s="40" t="s">
        <v>70</v>
      </c>
      <c r="B37" s="51" t="s">
        <v>149</v>
      </c>
      <c r="C37" s="41">
        <v>3</v>
      </c>
      <c r="D37" s="51" t="s">
        <v>149</v>
      </c>
      <c r="E37" s="51" t="s">
        <v>149</v>
      </c>
      <c r="F37" s="51" t="s">
        <v>149</v>
      </c>
      <c r="G37" s="51" t="s">
        <v>149</v>
      </c>
      <c r="H37" s="51" t="s">
        <v>149</v>
      </c>
      <c r="I37" s="51" t="s">
        <v>149</v>
      </c>
      <c r="J37" s="51" t="s">
        <v>149</v>
      </c>
      <c r="N37" s="45"/>
    </row>
    <row r="38" spans="1:14" ht="12" hidden="1" customHeight="1" outlineLevel="1" x14ac:dyDescent="0.2">
      <c r="A38" s="40" t="s">
        <v>72</v>
      </c>
      <c r="B38" s="51" t="s">
        <v>149</v>
      </c>
      <c r="C38" s="41">
        <v>0</v>
      </c>
      <c r="D38" s="51" t="s">
        <v>149</v>
      </c>
      <c r="E38" s="51" t="s">
        <v>149</v>
      </c>
      <c r="F38" s="51" t="s">
        <v>149</v>
      </c>
      <c r="G38" s="51" t="s">
        <v>149</v>
      </c>
      <c r="H38" s="51" t="s">
        <v>149</v>
      </c>
      <c r="I38" s="51" t="s">
        <v>149</v>
      </c>
      <c r="J38" s="51" t="s">
        <v>149</v>
      </c>
      <c r="N38" s="45"/>
    </row>
    <row r="39" spans="1:14" ht="12" hidden="1" customHeight="1" outlineLevel="1" x14ac:dyDescent="0.2">
      <c r="A39" s="40" t="s">
        <v>74</v>
      </c>
      <c r="B39" s="50" t="s">
        <v>149</v>
      </c>
      <c r="C39" s="49">
        <v>1</v>
      </c>
      <c r="D39" s="50" t="s">
        <v>149</v>
      </c>
      <c r="E39" s="50" t="s">
        <v>149</v>
      </c>
      <c r="F39" s="50" t="s">
        <v>149</v>
      </c>
      <c r="G39" s="50" t="s">
        <v>149</v>
      </c>
      <c r="H39" s="50" t="s">
        <v>149</v>
      </c>
      <c r="I39" s="50" t="s">
        <v>149</v>
      </c>
      <c r="J39" s="50" t="s">
        <v>149</v>
      </c>
      <c r="N39" s="45"/>
    </row>
    <row r="40" spans="1:14" ht="12" hidden="1" customHeight="1" outlineLevel="1" x14ac:dyDescent="0.2">
      <c r="A40" s="40" t="s">
        <v>76</v>
      </c>
      <c r="B40" s="41"/>
      <c r="C40" s="60">
        <f>SUM(C34:C39)/(C33+C39)</f>
        <v>0.1</v>
      </c>
      <c r="D40" s="41"/>
      <c r="E40" s="41"/>
      <c r="F40" s="41"/>
      <c r="G40" s="41"/>
      <c r="H40" s="41"/>
      <c r="I40" s="41"/>
      <c r="J40" s="41"/>
      <c r="N40" s="45"/>
    </row>
    <row r="41" spans="1:14" ht="12" hidden="1" customHeight="1" outlineLevel="1" x14ac:dyDescent="0.2">
      <c r="A41" s="40" t="s">
        <v>42</v>
      </c>
      <c r="B41" s="41"/>
      <c r="C41" s="41"/>
      <c r="D41" s="41"/>
      <c r="E41" s="41"/>
      <c r="F41" s="41"/>
      <c r="G41" s="41"/>
      <c r="H41" s="41"/>
      <c r="I41" s="41"/>
      <c r="J41" s="41"/>
      <c r="N41" s="45"/>
    </row>
    <row r="42" spans="1:14" ht="12" customHeight="1" collapsed="1" x14ac:dyDescent="0.2">
      <c r="A42" s="53"/>
      <c r="B42" s="54"/>
      <c r="C42" s="54"/>
      <c r="D42" s="54"/>
      <c r="E42" s="54"/>
      <c r="F42" s="54"/>
      <c r="G42" s="54"/>
      <c r="H42" s="54"/>
      <c r="I42" s="54"/>
      <c r="J42" s="54"/>
      <c r="N42" s="45"/>
    </row>
    <row r="43" spans="1:14" ht="12" customHeight="1" x14ac:dyDescent="0.2">
      <c r="A43" s="58" t="s">
        <v>154</v>
      </c>
      <c r="B43" s="37"/>
      <c r="C43" s="37"/>
      <c r="D43" s="37"/>
      <c r="E43" s="37"/>
      <c r="F43" s="37"/>
      <c r="G43" s="37"/>
      <c r="H43" s="37"/>
      <c r="I43" s="37"/>
      <c r="J43" s="37"/>
      <c r="N43" s="45"/>
    </row>
    <row r="44" spans="1:14" ht="12" hidden="1" customHeight="1" outlineLevel="1" x14ac:dyDescent="0.2">
      <c r="A44" s="40" t="s">
        <v>79</v>
      </c>
      <c r="B44" s="51" t="s">
        <v>149</v>
      </c>
      <c r="C44" s="49">
        <v>5</v>
      </c>
      <c r="D44" s="51" t="s">
        <v>149</v>
      </c>
      <c r="E44" s="49">
        <v>6</v>
      </c>
      <c r="F44" s="49">
        <v>6</v>
      </c>
      <c r="G44" s="51" t="s">
        <v>149</v>
      </c>
      <c r="H44" s="51" t="s">
        <v>149</v>
      </c>
      <c r="I44" s="51" t="s">
        <v>149</v>
      </c>
      <c r="J44" s="51" t="s">
        <v>149</v>
      </c>
      <c r="N44" s="45"/>
    </row>
    <row r="45" spans="1:14" ht="12" hidden="1" customHeight="1" outlineLevel="1" x14ac:dyDescent="0.2">
      <c r="A45" s="40" t="s">
        <v>81</v>
      </c>
      <c r="B45" s="51" t="s">
        <v>149</v>
      </c>
      <c r="C45" s="41">
        <v>1</v>
      </c>
      <c r="D45" s="51" t="s">
        <v>149</v>
      </c>
      <c r="E45" s="41">
        <v>0</v>
      </c>
      <c r="F45" s="41">
        <v>1</v>
      </c>
      <c r="G45" s="51" t="s">
        <v>149</v>
      </c>
      <c r="H45" s="51" t="s">
        <v>149</v>
      </c>
      <c r="I45" s="51" t="s">
        <v>149</v>
      </c>
      <c r="J45" s="51" t="s">
        <v>149</v>
      </c>
      <c r="N45" s="45"/>
    </row>
    <row r="46" spans="1:14" ht="12" hidden="1" customHeight="1" outlineLevel="1" x14ac:dyDescent="0.2">
      <c r="A46" s="40" t="s">
        <v>74</v>
      </c>
      <c r="B46" s="51" t="s">
        <v>149</v>
      </c>
      <c r="C46" s="49">
        <v>0</v>
      </c>
      <c r="D46" s="51" t="s">
        <v>149</v>
      </c>
      <c r="E46" s="49">
        <v>0</v>
      </c>
      <c r="F46" s="49">
        <v>0</v>
      </c>
      <c r="G46" s="51" t="s">
        <v>149</v>
      </c>
      <c r="H46" s="51" t="s">
        <v>149</v>
      </c>
      <c r="I46" s="51" t="s">
        <v>149</v>
      </c>
      <c r="J46" s="51" t="s">
        <v>149</v>
      </c>
      <c r="N46" s="45"/>
    </row>
    <row r="47" spans="1:14" ht="12" hidden="1" customHeight="1" outlineLevel="1" x14ac:dyDescent="0.2">
      <c r="A47" s="40" t="s">
        <v>76</v>
      </c>
      <c r="B47" s="50" t="s">
        <v>149</v>
      </c>
      <c r="C47" s="60">
        <f>C45/C44</f>
        <v>0.2</v>
      </c>
      <c r="D47" s="50" t="s">
        <v>149</v>
      </c>
      <c r="E47" s="60">
        <f>E45/E44</f>
        <v>0</v>
      </c>
      <c r="F47" s="60">
        <f>F45/F44</f>
        <v>0.16666666666666666</v>
      </c>
      <c r="G47" s="50" t="s">
        <v>149</v>
      </c>
      <c r="H47" s="50" t="s">
        <v>149</v>
      </c>
      <c r="I47" s="50" t="s">
        <v>149</v>
      </c>
      <c r="J47" s="50" t="s">
        <v>149</v>
      </c>
      <c r="N47" s="45"/>
    </row>
    <row r="48" spans="1:14" ht="12" hidden="1" customHeight="1" outlineLevel="1" x14ac:dyDescent="0.2">
      <c r="A48" s="40" t="s">
        <v>42</v>
      </c>
      <c r="B48" s="41"/>
      <c r="C48" s="41"/>
      <c r="D48" s="41"/>
      <c r="E48" s="41"/>
      <c r="F48" s="41"/>
      <c r="G48" s="41"/>
      <c r="H48" s="41"/>
      <c r="I48" s="41"/>
      <c r="J48" s="41"/>
      <c r="N48" s="45"/>
    </row>
    <row r="49" spans="1:14" ht="12" customHeight="1" collapsed="1" x14ac:dyDescent="0.2">
      <c r="A49" s="53"/>
      <c r="B49" s="54"/>
      <c r="C49" s="54"/>
      <c r="D49" s="54"/>
      <c r="E49" s="54"/>
      <c r="F49" s="54"/>
      <c r="G49" s="54"/>
      <c r="H49" s="54"/>
      <c r="I49" s="54"/>
      <c r="J49" s="54"/>
      <c r="N49" s="45"/>
    </row>
    <row r="50" spans="1:14" ht="12" customHeight="1" x14ac:dyDescent="0.2">
      <c r="A50" s="58" t="s">
        <v>155</v>
      </c>
      <c r="B50" s="37"/>
      <c r="C50" s="37"/>
      <c r="D50" s="37"/>
      <c r="E50" s="37"/>
      <c r="F50" s="37"/>
      <c r="G50" s="37"/>
      <c r="H50" s="37"/>
      <c r="I50" s="37"/>
      <c r="J50" s="37"/>
      <c r="N50" s="42">
        <v>3</v>
      </c>
    </row>
    <row r="51" spans="1:14" ht="12" customHeight="1" x14ac:dyDescent="0.2">
      <c r="A51" s="40" t="s">
        <v>86</v>
      </c>
      <c r="B51" s="41">
        <v>1</v>
      </c>
      <c r="C51" s="41">
        <v>0</v>
      </c>
      <c r="D51" s="41">
        <v>0</v>
      </c>
      <c r="E51" s="41">
        <v>0</v>
      </c>
      <c r="F51" s="41">
        <v>2</v>
      </c>
      <c r="G51" s="41">
        <v>0</v>
      </c>
      <c r="H51" s="41">
        <v>0</v>
      </c>
      <c r="I51" s="41">
        <v>0</v>
      </c>
      <c r="J51" s="41">
        <v>2</v>
      </c>
      <c r="N51" s="45"/>
    </row>
    <row r="52" spans="1:14" ht="12" customHeight="1" x14ac:dyDescent="0.2">
      <c r="A52" s="40" t="s">
        <v>88</v>
      </c>
      <c r="B52" s="41">
        <v>2</v>
      </c>
      <c r="C52" s="41">
        <v>0</v>
      </c>
      <c r="D52" s="41">
        <v>8</v>
      </c>
      <c r="E52" s="41">
        <v>6</v>
      </c>
      <c r="F52" s="41">
        <v>7</v>
      </c>
      <c r="G52" s="41">
        <v>8</v>
      </c>
      <c r="H52" s="41">
        <v>5</v>
      </c>
      <c r="I52" s="41">
        <v>3</v>
      </c>
      <c r="J52" s="41">
        <v>1</v>
      </c>
      <c r="N52" s="45"/>
    </row>
    <row r="53" spans="1:14" ht="12" customHeight="1" x14ac:dyDescent="0.2">
      <c r="A53" s="40" t="s">
        <v>90</v>
      </c>
      <c r="B53" s="41">
        <v>18</v>
      </c>
      <c r="C53" s="41">
        <v>0</v>
      </c>
      <c r="D53" s="41">
        <v>2</v>
      </c>
      <c r="E53" s="41">
        <v>7</v>
      </c>
      <c r="F53" s="41">
        <v>2</v>
      </c>
      <c r="G53" s="41">
        <v>2</v>
      </c>
      <c r="H53" s="41">
        <v>3</v>
      </c>
      <c r="I53" s="41">
        <v>2</v>
      </c>
      <c r="J53" s="41">
        <v>5</v>
      </c>
      <c r="N53" s="45"/>
    </row>
    <row r="54" spans="1:14" ht="12" customHeight="1" x14ac:dyDescent="0.2">
      <c r="A54" s="40" t="s">
        <v>92</v>
      </c>
      <c r="B54" s="41">
        <v>26</v>
      </c>
      <c r="C54" s="41">
        <v>0</v>
      </c>
      <c r="D54" s="41">
        <v>9</v>
      </c>
      <c r="E54" s="41">
        <v>6</v>
      </c>
      <c r="F54" s="41">
        <v>7</v>
      </c>
      <c r="G54" s="41">
        <v>4</v>
      </c>
      <c r="H54" s="41">
        <v>7</v>
      </c>
      <c r="I54" s="41">
        <v>6</v>
      </c>
      <c r="J54" s="41">
        <v>15</v>
      </c>
      <c r="N54" s="45"/>
    </row>
    <row r="55" spans="1:14" ht="12" customHeight="1" x14ac:dyDescent="0.2">
      <c r="A55" s="40" t="s">
        <v>94</v>
      </c>
      <c r="B55" s="41">
        <v>5</v>
      </c>
      <c r="C55" s="41">
        <v>8</v>
      </c>
      <c r="D55" s="41">
        <v>8</v>
      </c>
      <c r="E55" s="41">
        <v>0</v>
      </c>
      <c r="F55" s="41">
        <v>4</v>
      </c>
      <c r="G55" s="41">
        <v>2</v>
      </c>
      <c r="H55" s="41">
        <v>8</v>
      </c>
      <c r="I55" s="41">
        <v>2</v>
      </c>
      <c r="J55" s="41">
        <v>40</v>
      </c>
      <c r="N55" s="45"/>
    </row>
    <row r="56" spans="1:14" ht="12" customHeight="1" x14ac:dyDescent="0.2">
      <c r="A56" s="40" t="s">
        <v>59</v>
      </c>
      <c r="B56" s="49">
        <f t="shared" ref="B56:J56" si="2">SUM(B51:B55)</f>
        <v>52</v>
      </c>
      <c r="C56" s="49">
        <f t="shared" si="2"/>
        <v>8</v>
      </c>
      <c r="D56" s="49">
        <f t="shared" si="2"/>
        <v>27</v>
      </c>
      <c r="E56" s="49">
        <f t="shared" si="2"/>
        <v>19</v>
      </c>
      <c r="F56" s="49">
        <f t="shared" si="2"/>
        <v>22</v>
      </c>
      <c r="G56" s="49">
        <f t="shared" si="2"/>
        <v>16</v>
      </c>
      <c r="H56" s="49">
        <f t="shared" si="2"/>
        <v>23</v>
      </c>
      <c r="I56" s="49">
        <f t="shared" si="2"/>
        <v>13</v>
      </c>
      <c r="J56" s="49">
        <f t="shared" si="2"/>
        <v>63</v>
      </c>
      <c r="N56" s="45"/>
    </row>
    <row r="57" spans="1:14" ht="12" customHeight="1" x14ac:dyDescent="0.2">
      <c r="A57" s="40" t="s">
        <v>42</v>
      </c>
      <c r="B57" s="41"/>
      <c r="C57" s="41"/>
      <c r="D57" s="41"/>
      <c r="E57" s="41"/>
      <c r="F57" s="41"/>
      <c r="G57" s="41"/>
      <c r="H57" s="41"/>
      <c r="I57" s="41"/>
      <c r="J57" s="41"/>
      <c r="N57" s="45"/>
    </row>
    <row r="58" spans="1:14" ht="12" customHeight="1" x14ac:dyDescent="0.2">
      <c r="A58" s="61"/>
      <c r="B58" s="61"/>
      <c r="C58" s="61"/>
      <c r="D58" s="61"/>
      <c r="E58" s="61"/>
      <c r="F58" s="61"/>
      <c r="G58" s="61"/>
      <c r="H58" s="61"/>
      <c r="I58" s="61"/>
      <c r="J58" s="61"/>
      <c r="N58" s="45"/>
    </row>
    <row r="59" spans="1:14" ht="12" customHeight="1" x14ac:dyDescent="0.2">
      <c r="A59" s="61"/>
      <c r="B59" s="61"/>
      <c r="C59" s="61"/>
      <c r="D59" s="61"/>
      <c r="E59" s="61"/>
      <c r="F59" s="61"/>
      <c r="G59" s="61"/>
      <c r="H59" s="61"/>
      <c r="I59" s="61"/>
      <c r="J59" s="61"/>
      <c r="N59" s="42">
        <v>3</v>
      </c>
    </row>
    <row r="60" spans="1:14" ht="12" customHeight="1" x14ac:dyDescent="0.2">
      <c r="A60" s="61"/>
      <c r="B60" s="61"/>
      <c r="C60" s="61"/>
      <c r="D60" s="61"/>
      <c r="E60" s="61"/>
      <c r="F60" s="61"/>
      <c r="G60" s="61"/>
      <c r="H60" s="61"/>
      <c r="I60" s="61"/>
      <c r="J60" s="61"/>
      <c r="N60" s="45"/>
    </row>
    <row r="61" spans="1:14" ht="12" customHeight="1" x14ac:dyDescent="0.2">
      <c r="A61" s="61"/>
      <c r="B61" s="61"/>
      <c r="C61" s="61"/>
      <c r="D61" s="61"/>
      <c r="E61" s="61"/>
      <c r="F61" s="61"/>
      <c r="G61" s="61"/>
      <c r="H61" s="61"/>
      <c r="I61" s="61"/>
      <c r="J61" s="61"/>
      <c r="N61" s="45"/>
    </row>
    <row r="62" spans="1:14" ht="12" customHeight="1" x14ac:dyDescent="0.2">
      <c r="A62" s="61"/>
      <c r="B62" s="61"/>
      <c r="C62" s="61"/>
      <c r="D62" s="61"/>
      <c r="E62" s="61"/>
      <c r="F62" s="61"/>
      <c r="G62" s="61"/>
      <c r="H62" s="61"/>
      <c r="I62" s="61"/>
      <c r="J62" s="61"/>
      <c r="N62" s="45"/>
    </row>
    <row r="63" spans="1:14" ht="12" customHeight="1" x14ac:dyDescent="0.2">
      <c r="A63" s="61"/>
      <c r="B63" s="61"/>
      <c r="C63" s="61"/>
      <c r="D63" s="61"/>
      <c r="E63" s="61"/>
      <c r="F63" s="61"/>
      <c r="G63" s="61"/>
      <c r="H63" s="61"/>
      <c r="I63" s="61"/>
      <c r="J63" s="61"/>
      <c r="N63" s="45"/>
    </row>
    <row r="64" spans="1:14" ht="12" customHeight="1" x14ac:dyDescent="0.2">
      <c r="A64" s="61"/>
      <c r="B64" s="61"/>
      <c r="C64" s="61"/>
      <c r="D64" s="61"/>
      <c r="E64" s="61"/>
      <c r="F64" s="61"/>
      <c r="G64" s="61"/>
      <c r="H64" s="61"/>
      <c r="I64" s="61"/>
      <c r="J64" s="61"/>
      <c r="N64" s="45"/>
    </row>
    <row r="65" spans="1:14" ht="12" customHeight="1" x14ac:dyDescent="0.2">
      <c r="A65" s="61"/>
      <c r="B65" s="61"/>
      <c r="C65" s="61"/>
      <c r="D65" s="61"/>
      <c r="E65" s="61"/>
      <c r="F65" s="61"/>
      <c r="G65" s="61"/>
      <c r="H65" s="61"/>
      <c r="I65" s="61"/>
      <c r="J65" s="61"/>
      <c r="N65" s="45"/>
    </row>
    <row r="66" spans="1:14" ht="12" customHeight="1" x14ac:dyDescent="0.2">
      <c r="A66" s="61"/>
      <c r="B66" s="61"/>
      <c r="C66" s="61"/>
      <c r="D66" s="61"/>
      <c r="E66" s="61"/>
      <c r="F66" s="61"/>
      <c r="G66" s="61"/>
      <c r="H66" s="61"/>
      <c r="I66" s="61"/>
      <c r="J66" s="61"/>
      <c r="N66" s="45"/>
    </row>
    <row r="67" spans="1:14" ht="12" customHeight="1" x14ac:dyDescent="0.2">
      <c r="A67" s="61"/>
      <c r="B67" s="61"/>
      <c r="C67" s="61"/>
      <c r="D67" s="61"/>
      <c r="E67" s="61"/>
      <c r="F67" s="61"/>
      <c r="G67" s="61"/>
      <c r="H67" s="61"/>
      <c r="I67" s="61"/>
      <c r="J67" s="61"/>
      <c r="N67" s="45"/>
    </row>
    <row r="68" spans="1:14" ht="12" customHeight="1" x14ac:dyDescent="0.2">
      <c r="A68" s="61"/>
      <c r="B68" s="61"/>
      <c r="C68" s="61"/>
      <c r="D68" s="61"/>
      <c r="E68" s="61"/>
      <c r="F68" s="61"/>
      <c r="G68" s="61"/>
      <c r="H68" s="61"/>
      <c r="I68" s="61"/>
      <c r="J68" s="61"/>
      <c r="N68" s="45"/>
    </row>
    <row r="69" spans="1:14" ht="12" customHeight="1" x14ac:dyDescent="0.2">
      <c r="A69" s="61"/>
      <c r="B69" s="61"/>
      <c r="C69" s="61"/>
      <c r="D69" s="61"/>
      <c r="E69" s="61"/>
      <c r="F69" s="61"/>
      <c r="G69" s="61"/>
      <c r="H69" s="61"/>
      <c r="I69" s="61"/>
      <c r="J69" s="61"/>
      <c r="N69" s="45"/>
    </row>
    <row r="70" spans="1:14" ht="12" customHeight="1" x14ac:dyDescent="0.2">
      <c r="A70" s="61"/>
      <c r="B70" s="61"/>
      <c r="C70" s="61"/>
      <c r="D70" s="61"/>
      <c r="E70" s="61"/>
      <c r="F70" s="61"/>
      <c r="G70" s="61"/>
      <c r="H70" s="61"/>
      <c r="I70" s="61"/>
      <c r="J70" s="61"/>
      <c r="N70" s="45"/>
    </row>
    <row r="71" spans="1:14" ht="12" customHeight="1" x14ac:dyDescent="0.2">
      <c r="A71" s="61"/>
      <c r="B71" s="61"/>
      <c r="C71" s="61"/>
      <c r="D71" s="61"/>
      <c r="E71" s="61"/>
      <c r="F71" s="61"/>
      <c r="G71" s="61"/>
      <c r="H71" s="61"/>
      <c r="I71" s="61"/>
      <c r="J71" s="61"/>
      <c r="N71" s="45"/>
    </row>
    <row r="72" spans="1:14" ht="12" customHeight="1" x14ac:dyDescent="0.2">
      <c r="A72" s="61"/>
      <c r="B72" s="61"/>
      <c r="C72" s="61"/>
      <c r="D72" s="61"/>
      <c r="E72" s="61"/>
      <c r="F72" s="61"/>
      <c r="G72" s="61"/>
      <c r="H72" s="61"/>
      <c r="I72" s="61"/>
      <c r="J72" s="61"/>
      <c r="N72" s="45"/>
    </row>
    <row r="73" spans="1:14" ht="12" customHeight="1" x14ac:dyDescent="0.2">
      <c r="A73" s="61"/>
      <c r="B73" s="61"/>
      <c r="C73" s="61"/>
      <c r="D73" s="61"/>
      <c r="E73" s="61"/>
      <c r="F73" s="61"/>
      <c r="G73" s="61"/>
      <c r="H73" s="61"/>
      <c r="I73" s="61"/>
      <c r="J73" s="61"/>
      <c r="N73" s="45"/>
    </row>
    <row r="74" spans="1:14" ht="12" customHeight="1" x14ac:dyDescent="0.2">
      <c r="A74" s="61"/>
      <c r="B74" s="61"/>
      <c r="C74" s="61"/>
      <c r="D74" s="61"/>
      <c r="E74" s="61"/>
      <c r="F74" s="61"/>
      <c r="G74" s="61"/>
      <c r="H74" s="61"/>
      <c r="I74" s="61"/>
      <c r="J74" s="61"/>
      <c r="N74" s="42">
        <v>3</v>
      </c>
    </row>
    <row r="75" spans="1:14" ht="12" customHeight="1" x14ac:dyDescent="0.2">
      <c r="A75" s="61"/>
      <c r="B75" s="61"/>
      <c r="C75" s="61"/>
      <c r="D75" s="61"/>
      <c r="E75" s="61"/>
      <c r="F75" s="61"/>
      <c r="G75" s="61"/>
      <c r="H75" s="61"/>
      <c r="I75" s="61"/>
      <c r="J75" s="61"/>
      <c r="N75" s="45"/>
    </row>
    <row r="76" spans="1:14" ht="12" customHeight="1" x14ac:dyDescent="0.2">
      <c r="A76" s="61"/>
      <c r="B76" s="61"/>
      <c r="C76" s="61"/>
      <c r="D76" s="61"/>
      <c r="E76" s="61"/>
      <c r="F76" s="61"/>
      <c r="G76" s="61"/>
      <c r="H76" s="61"/>
      <c r="I76" s="61"/>
      <c r="J76" s="61"/>
      <c r="N76" s="45"/>
    </row>
    <row r="77" spans="1:14" ht="12" customHeight="1" x14ac:dyDescent="0.2">
      <c r="A77" s="61"/>
      <c r="B77" s="61"/>
      <c r="C77" s="61"/>
      <c r="D77" s="61"/>
      <c r="E77" s="61"/>
      <c r="F77" s="61"/>
      <c r="G77" s="61"/>
      <c r="H77" s="61"/>
      <c r="I77" s="61"/>
      <c r="J77" s="61"/>
      <c r="N77" s="45"/>
    </row>
    <row r="78" spans="1:14" ht="12" customHeight="1" x14ac:dyDescent="0.2">
      <c r="A78" s="61"/>
      <c r="B78" s="61"/>
      <c r="C78" s="61"/>
      <c r="D78" s="61"/>
      <c r="E78" s="61"/>
      <c r="F78" s="61"/>
      <c r="G78" s="61"/>
      <c r="H78" s="61"/>
      <c r="I78" s="61"/>
      <c r="J78" s="61"/>
      <c r="N78" s="45"/>
    </row>
    <row r="79" spans="1:14" ht="12" customHeight="1" x14ac:dyDescent="0.2">
      <c r="A79" s="61"/>
      <c r="B79" s="61"/>
      <c r="C79" s="61"/>
      <c r="D79" s="61"/>
      <c r="E79" s="61"/>
      <c r="F79" s="61"/>
      <c r="G79" s="61"/>
      <c r="H79" s="61"/>
      <c r="I79" s="61"/>
      <c r="J79" s="61"/>
      <c r="N79" s="45"/>
    </row>
    <row r="80" spans="1:14" ht="12" customHeight="1" x14ac:dyDescent="0.2">
      <c r="A80" s="61"/>
      <c r="B80" s="61"/>
      <c r="C80" s="61"/>
      <c r="D80" s="61"/>
      <c r="E80" s="61"/>
      <c r="F80" s="61"/>
      <c r="G80" s="61"/>
      <c r="H80" s="61"/>
      <c r="I80" s="61"/>
      <c r="J80" s="61"/>
      <c r="N80" s="45"/>
    </row>
    <row r="81" spans="1:14" ht="12" customHeight="1" x14ac:dyDescent="0.2">
      <c r="A81" s="61"/>
      <c r="B81" s="61"/>
      <c r="C81" s="61"/>
      <c r="D81" s="61"/>
      <c r="E81" s="61"/>
      <c r="F81" s="61"/>
      <c r="G81" s="61"/>
      <c r="H81" s="61"/>
      <c r="I81" s="61"/>
      <c r="J81" s="61"/>
      <c r="N81" s="45"/>
    </row>
    <row r="82" spans="1:14" ht="12" customHeight="1" x14ac:dyDescent="0.2">
      <c r="A82" s="61"/>
      <c r="B82" s="61"/>
      <c r="C82" s="61"/>
      <c r="D82" s="61"/>
      <c r="E82" s="61"/>
      <c r="F82" s="61"/>
      <c r="G82" s="61"/>
      <c r="H82" s="61"/>
      <c r="I82" s="61"/>
      <c r="J82" s="61"/>
      <c r="N82" s="45"/>
    </row>
    <row r="83" spans="1:14" ht="12" customHeight="1" x14ac:dyDescent="0.2">
      <c r="A83" s="61"/>
      <c r="B83" s="61"/>
      <c r="C83" s="61"/>
      <c r="D83" s="61"/>
      <c r="E83" s="61"/>
      <c r="F83" s="61"/>
      <c r="G83" s="61"/>
      <c r="H83" s="61"/>
      <c r="I83" s="61"/>
      <c r="J83" s="61"/>
      <c r="N83" s="45"/>
    </row>
    <row r="84" spans="1:14" ht="12" customHeight="1" x14ac:dyDescent="0.2">
      <c r="A84" s="61"/>
      <c r="B84" s="61"/>
      <c r="C84" s="61"/>
      <c r="D84" s="61"/>
      <c r="E84" s="61"/>
      <c r="F84" s="61"/>
      <c r="G84" s="61"/>
      <c r="H84" s="61"/>
      <c r="I84" s="61"/>
      <c r="J84" s="61"/>
      <c r="N84" s="45"/>
    </row>
    <row r="85" spans="1:14" ht="12" customHeight="1" x14ac:dyDescent="0.2">
      <c r="A85" s="61"/>
      <c r="B85" s="61"/>
      <c r="C85" s="61"/>
      <c r="D85" s="61"/>
      <c r="E85" s="61"/>
      <c r="F85" s="61"/>
      <c r="G85" s="61"/>
      <c r="H85" s="61"/>
      <c r="I85" s="61"/>
      <c r="J85" s="61"/>
      <c r="N85" s="45"/>
    </row>
    <row r="86" spans="1:14" ht="12" customHeight="1" x14ac:dyDescent="0.2">
      <c r="A86" s="61"/>
      <c r="B86" s="61"/>
      <c r="C86" s="61"/>
      <c r="D86" s="61"/>
      <c r="E86" s="61"/>
      <c r="F86" s="61"/>
      <c r="G86" s="61"/>
      <c r="H86" s="61"/>
      <c r="I86" s="61"/>
      <c r="J86" s="61"/>
      <c r="N86" s="45"/>
    </row>
    <row r="87" spans="1:14" ht="12" customHeight="1" x14ac:dyDescent="0.2">
      <c r="A87" s="61"/>
      <c r="B87" s="61"/>
      <c r="C87" s="61"/>
      <c r="D87" s="61"/>
      <c r="E87" s="61"/>
      <c r="F87" s="61"/>
      <c r="G87" s="61"/>
      <c r="H87" s="61"/>
      <c r="I87" s="61"/>
      <c r="J87" s="61"/>
      <c r="N87" s="45"/>
    </row>
    <row r="88" spans="1:14" ht="12" customHeight="1" x14ac:dyDescent="0.2">
      <c r="A88" s="61"/>
      <c r="B88" s="61"/>
      <c r="C88" s="61"/>
      <c r="D88" s="61"/>
      <c r="E88" s="61"/>
      <c r="F88" s="61"/>
      <c r="G88" s="61"/>
      <c r="H88" s="61"/>
      <c r="I88" s="61"/>
      <c r="J88" s="61"/>
      <c r="N88" s="45"/>
    </row>
    <row r="89" spans="1:14" ht="12" customHeight="1" x14ac:dyDescent="0.2">
      <c r="A89" s="61"/>
      <c r="B89" s="61"/>
      <c r="C89" s="61"/>
      <c r="D89" s="61"/>
      <c r="E89" s="61"/>
      <c r="F89" s="61"/>
      <c r="G89" s="61"/>
      <c r="H89" s="61"/>
      <c r="I89" s="61"/>
      <c r="J89" s="61"/>
      <c r="N89" s="45"/>
    </row>
    <row r="90" spans="1:14" ht="12" customHeight="1" x14ac:dyDescent="0.2">
      <c r="A90" s="61"/>
      <c r="B90" s="61"/>
      <c r="C90" s="61"/>
      <c r="D90" s="61"/>
      <c r="E90" s="61"/>
      <c r="F90" s="61"/>
      <c r="G90" s="61"/>
      <c r="H90" s="61"/>
      <c r="I90" s="61"/>
      <c r="J90" s="61"/>
      <c r="N90" s="45"/>
    </row>
    <row r="91" spans="1:14" ht="12" customHeight="1" x14ac:dyDescent="0.2">
      <c r="A91" s="61"/>
      <c r="B91" s="61"/>
      <c r="C91" s="61"/>
      <c r="D91" s="61"/>
      <c r="E91" s="61"/>
      <c r="F91" s="61"/>
      <c r="G91" s="61"/>
      <c r="H91" s="61"/>
      <c r="I91" s="61"/>
      <c r="J91" s="61"/>
      <c r="N91" s="45"/>
    </row>
    <row r="92" spans="1:14" ht="12" customHeight="1" outlineLevel="1" x14ac:dyDescent="0.2">
      <c r="A92" s="61"/>
      <c r="B92" s="61"/>
      <c r="C92" s="61"/>
      <c r="D92" s="61"/>
      <c r="E92" s="61"/>
      <c r="F92" s="61"/>
      <c r="G92" s="61"/>
      <c r="H92" s="61"/>
      <c r="I92" s="61"/>
      <c r="J92" s="61"/>
      <c r="N92" s="45"/>
    </row>
    <row r="93" spans="1:14" ht="12" customHeight="1" outlineLevel="1" x14ac:dyDescent="0.2">
      <c r="A93" s="61"/>
      <c r="B93" s="61"/>
      <c r="C93" s="61"/>
      <c r="D93" s="61"/>
      <c r="E93" s="61"/>
      <c r="F93" s="61"/>
      <c r="G93" s="61"/>
      <c r="H93" s="61"/>
      <c r="I93" s="61"/>
      <c r="J93" s="61"/>
    </row>
    <row r="94" spans="1:14" ht="12" customHeight="1" outlineLevel="1" x14ac:dyDescent="0.2">
      <c r="A94" s="61"/>
      <c r="B94" s="61"/>
      <c r="C94" s="61"/>
      <c r="D94" s="61"/>
      <c r="E94" s="61"/>
      <c r="F94" s="61"/>
      <c r="G94" s="61"/>
      <c r="H94" s="61"/>
      <c r="I94" s="61"/>
      <c r="J94" s="61"/>
    </row>
    <row r="95" spans="1:14" ht="12" customHeight="1" outlineLevel="1" x14ac:dyDescent="0.2">
      <c r="A95" s="61"/>
      <c r="B95" s="61"/>
      <c r="C95" s="61"/>
      <c r="D95" s="61"/>
      <c r="E95" s="61"/>
      <c r="F95" s="61"/>
      <c r="G95" s="61"/>
      <c r="H95" s="61"/>
      <c r="I95" s="61"/>
      <c r="J95" s="61"/>
    </row>
    <row r="96" spans="1:14" ht="12" customHeight="1" outlineLevel="1" x14ac:dyDescent="0.2">
      <c r="A96" s="61"/>
      <c r="B96" s="61"/>
      <c r="C96" s="61"/>
      <c r="D96" s="61"/>
      <c r="E96" s="61"/>
      <c r="F96" s="61"/>
      <c r="G96" s="61"/>
      <c r="H96" s="61"/>
      <c r="I96" s="61"/>
      <c r="J96" s="61"/>
    </row>
    <row r="97" spans="1:10" ht="12" customHeight="1" outlineLevel="1" x14ac:dyDescent="0.2">
      <c r="A97" s="61"/>
      <c r="B97" s="61"/>
      <c r="C97" s="61"/>
      <c r="D97" s="61"/>
      <c r="E97" s="61"/>
      <c r="F97" s="61"/>
      <c r="G97" s="61"/>
      <c r="H97" s="61"/>
      <c r="I97" s="61"/>
      <c r="J97" s="61"/>
    </row>
    <row r="98" spans="1:10" ht="12" customHeight="1" outlineLevel="1" x14ac:dyDescent="0.2">
      <c r="A98" s="61"/>
      <c r="B98" s="61"/>
      <c r="C98" s="61"/>
      <c r="D98" s="61"/>
      <c r="E98" s="61"/>
      <c r="F98" s="61"/>
      <c r="G98" s="61"/>
      <c r="H98" s="61"/>
      <c r="I98" s="61"/>
      <c r="J98" s="61"/>
    </row>
    <row r="99" spans="1:10" ht="12" customHeight="1" outlineLevel="1" x14ac:dyDescent="0.2">
      <c r="A99" s="61"/>
      <c r="B99" s="61"/>
      <c r="C99" s="61"/>
      <c r="D99" s="61"/>
      <c r="E99" s="61"/>
      <c r="F99" s="61"/>
      <c r="G99" s="61"/>
      <c r="H99" s="61"/>
      <c r="I99" s="61"/>
      <c r="J99" s="61"/>
    </row>
    <row r="100" spans="1:10" ht="12" customHeight="1" outlineLevel="1" x14ac:dyDescent="0.2">
      <c r="A100" s="61"/>
      <c r="B100" s="61"/>
      <c r="C100" s="61"/>
      <c r="D100" s="61"/>
      <c r="E100" s="61"/>
      <c r="F100" s="61"/>
      <c r="G100" s="61"/>
      <c r="H100" s="61"/>
      <c r="I100" s="61"/>
      <c r="J100" s="61"/>
    </row>
    <row r="101" spans="1:10" ht="12" customHeight="1" outlineLevel="1" x14ac:dyDescent="0.2">
      <c r="A101" s="61"/>
      <c r="B101" s="61"/>
      <c r="C101" s="61"/>
      <c r="D101" s="61"/>
      <c r="E101" s="61"/>
      <c r="F101" s="61"/>
      <c r="G101" s="61"/>
      <c r="H101" s="61"/>
      <c r="I101" s="61"/>
      <c r="J101" s="61"/>
    </row>
    <row r="102" spans="1:10" ht="12" customHeight="1" outlineLevel="1" x14ac:dyDescent="0.2">
      <c r="A102" s="61"/>
      <c r="B102" s="61"/>
      <c r="C102" s="61"/>
      <c r="D102" s="61"/>
      <c r="E102" s="61"/>
      <c r="F102" s="61"/>
      <c r="G102" s="61"/>
      <c r="H102" s="61"/>
      <c r="I102" s="61"/>
      <c r="J102" s="61"/>
    </row>
    <row r="103" spans="1:10" ht="12" customHeight="1" outlineLevel="1" x14ac:dyDescent="0.2">
      <c r="A103" s="61"/>
      <c r="B103" s="61"/>
      <c r="C103" s="61"/>
      <c r="D103" s="61"/>
      <c r="E103" s="61"/>
      <c r="F103" s="61"/>
      <c r="G103" s="61"/>
      <c r="H103" s="61"/>
      <c r="I103" s="61"/>
      <c r="J103" s="61"/>
    </row>
    <row r="104" spans="1:10" ht="12" customHeight="1" outlineLevel="1" x14ac:dyDescent="0.2">
      <c r="A104" s="61"/>
      <c r="B104" s="61"/>
      <c r="C104" s="61"/>
      <c r="D104" s="61"/>
      <c r="E104" s="61"/>
      <c r="F104" s="61"/>
      <c r="G104" s="61"/>
      <c r="H104" s="61"/>
      <c r="I104" s="61"/>
      <c r="J104" s="61"/>
    </row>
    <row r="105" spans="1:10" ht="12" customHeight="1" outlineLevel="1" x14ac:dyDescent="0.2">
      <c r="A105" s="61"/>
      <c r="B105" s="61"/>
      <c r="C105" s="61"/>
      <c r="D105" s="61"/>
      <c r="E105" s="61"/>
      <c r="F105" s="61"/>
      <c r="G105" s="61"/>
      <c r="H105" s="61"/>
      <c r="I105" s="61"/>
      <c r="J105" s="61"/>
    </row>
    <row r="106" spans="1:10" ht="12" customHeight="1" outlineLevel="1" x14ac:dyDescent="0.2">
      <c r="A106" s="61"/>
      <c r="B106" s="61"/>
      <c r="C106" s="61"/>
      <c r="D106" s="61"/>
      <c r="E106" s="61"/>
      <c r="F106" s="61"/>
      <c r="G106" s="61"/>
      <c r="H106" s="61"/>
      <c r="I106" s="61"/>
      <c r="J106" s="61"/>
    </row>
    <row r="107" spans="1:10" ht="12" customHeight="1" outlineLevel="1" x14ac:dyDescent="0.2">
      <c r="A107" s="61"/>
      <c r="B107" s="61"/>
      <c r="C107" s="61"/>
      <c r="D107" s="61"/>
      <c r="E107" s="61"/>
      <c r="F107" s="61"/>
      <c r="G107" s="61"/>
      <c r="H107" s="61"/>
      <c r="I107" s="61"/>
      <c r="J107" s="61"/>
    </row>
    <row r="108" spans="1:10" ht="12" customHeight="1" outlineLevel="1" x14ac:dyDescent="0.2">
      <c r="A108" s="61"/>
      <c r="B108" s="61"/>
      <c r="C108" s="61"/>
      <c r="D108" s="61"/>
      <c r="E108" s="61"/>
      <c r="F108" s="61"/>
      <c r="G108" s="61"/>
      <c r="H108" s="61"/>
      <c r="I108" s="61"/>
      <c r="J108" s="61"/>
    </row>
    <row r="109" spans="1:10" ht="12" customHeight="1" outlineLevel="1" x14ac:dyDescent="0.2">
      <c r="A109" s="61"/>
      <c r="B109" s="61"/>
      <c r="C109" s="61"/>
      <c r="D109" s="61"/>
      <c r="E109" s="61"/>
      <c r="F109" s="61"/>
      <c r="G109" s="61"/>
      <c r="H109" s="61"/>
      <c r="I109" s="61"/>
      <c r="J109" s="61"/>
    </row>
  </sheetData>
  <conditionalFormatting sqref="A10:M10">
    <cfRule type="cellIs" dxfId="278" priority="4" operator="equal">
      <formula>"Acceptable"</formula>
    </cfRule>
    <cfRule type="cellIs" dxfId="277" priority="5" operator="equal">
      <formula>"Not Acceptable"</formula>
    </cfRule>
    <cfRule type="cellIs" dxfId="276" priority="6" operator="equal">
      <formula>"Low"</formula>
    </cfRule>
    <cfRule type="cellIs" dxfId="275" priority="7" operator="equal">
      <formula>"Below Medium"</formula>
    </cfRule>
    <cfRule type="cellIs" dxfId="274" priority="8" operator="equal">
      <formula>"Medium"</formula>
    </cfRule>
    <cfRule type="cellIs" dxfId="273" priority="9" operator="equal">
      <formula>"Above Medium"</formula>
    </cfRule>
    <cfRule type="cellIs" dxfId="272" priority="10" operator="equal">
      <formula>"High"</formula>
    </cfRule>
  </conditionalFormatting>
  <conditionalFormatting sqref="N3:N9 N11:N74">
    <cfRule type="iconSet" priority="2">
      <iconSet iconSet="3Symbols2" showValue="0">
        <cfvo type="percent" val="0"/>
        <cfvo type="num" val="2"/>
        <cfvo type="num" val="3"/>
      </iconSet>
    </cfRule>
  </conditionalFormatting>
  <conditionalFormatting sqref="N10">
    <cfRule type="iconSet" priority="3">
      <iconSet iconSet="3Symbols2" showValue="0">
        <cfvo type="percent" val="0"/>
        <cfvo type="num" val="2"/>
        <cfvo type="num" val="3"/>
      </iconSet>
    </cfRule>
  </conditionalFormatting>
  <dataValidations count="5">
    <dataValidation type="list" allowBlank="1" showInputMessage="1" showErrorMessage="1" sqref="B8:J8" xr:uid="{00000000-0002-0000-0100-000000000000}">
      <formula1>Browser_list</formula1>
      <formula2>0</formula2>
    </dataValidation>
    <dataValidation type="list" allowBlank="1" showInputMessage="1" showErrorMessage="1" sqref="B4:J4" xr:uid="{00000000-0002-0000-0100-000001000000}">
      <formula1>Test_types</formula1>
      <formula2>0</formula2>
    </dataValidation>
    <dataValidation type="list" allowBlank="1" showInputMessage="1" showErrorMessage="1" sqref="B10:J10" xr:uid="{00000000-0002-0000-0100-000002000000}">
      <formula1>Quality_range</formula1>
      <formula2>0</formula2>
    </dataValidation>
    <dataValidation type="list" allowBlank="1" showInputMessage="1" showErrorMessage="1" sqref="B7:J7" xr:uid="{00000000-0002-0000-0100-000003000000}">
      <formula1>Environment_OS</formula1>
      <formula2>0</formula2>
    </dataValidation>
    <dataValidation type="list" allowBlank="1" showInputMessage="1" showErrorMessage="1" sqref="B6:J6" xr:uid="{00000000-0002-0000-0100-000004000000}">
      <formula1>Test_Team</formula1>
      <formula2>0</formula2>
    </dataValidation>
  </dataValidations>
  <pageMargins left="0.7" right="0.7" top="0.75" bottom="0.75" header="0.51180555555555496" footer="0.51180555555555496"/>
  <pageSetup paperSize="9" firstPageNumber="0" orientation="portrait"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0CDCD-50D1-4078-A8E2-928C13E09CBD}">
  <dimension ref="A1:H124"/>
  <sheetViews>
    <sheetView tabSelected="1" topLeftCell="A55" workbookViewId="0">
      <selection activeCell="G24" sqref="G24:G26"/>
    </sheetView>
  </sheetViews>
  <sheetFormatPr defaultRowHeight="12.75" outlineLevelCol="1" x14ac:dyDescent="0.2"/>
  <cols>
    <col min="1" max="1" width="17.7109375" style="35" customWidth="1" outlineLevel="1"/>
    <col min="2" max="2" width="24.7109375" style="35" customWidth="1"/>
    <col min="3" max="3" width="70.140625" style="62" customWidth="1"/>
    <col min="4" max="4" width="47.140625" style="35" customWidth="1"/>
    <col min="5" max="5" width="16.7109375" style="35" customWidth="1"/>
    <col min="6" max="7" width="16.7109375" style="35" customWidth="1" outlineLevel="1"/>
    <col min="8" max="8" width="23.85546875" style="35" customWidth="1" outlineLevel="1"/>
  </cols>
  <sheetData>
    <row r="1" spans="1:8" x14ac:dyDescent="0.2">
      <c r="A1" s="114" t="s">
        <v>209</v>
      </c>
      <c r="B1" s="114"/>
      <c r="C1" s="114" t="s">
        <v>156</v>
      </c>
      <c r="D1" s="10" t="s">
        <v>125</v>
      </c>
      <c r="E1" s="126" t="s">
        <v>157</v>
      </c>
      <c r="F1" s="126"/>
      <c r="G1" s="126"/>
      <c r="H1" s="126"/>
    </row>
    <row r="2" spans="1:8" x14ac:dyDescent="0.2">
      <c r="A2" s="114"/>
      <c r="B2" s="114"/>
      <c r="C2" s="114"/>
      <c r="D2" s="10" t="s">
        <v>8</v>
      </c>
      <c r="E2" s="126" t="s">
        <v>206</v>
      </c>
      <c r="F2" s="126"/>
      <c r="G2" s="126"/>
      <c r="H2" s="126"/>
    </row>
    <row r="3" spans="1:8" x14ac:dyDescent="0.2">
      <c r="A3" s="114"/>
      <c r="B3" s="114"/>
      <c r="C3" s="114"/>
      <c r="D3" s="10" t="s">
        <v>24</v>
      </c>
      <c r="E3" s="127">
        <v>45766</v>
      </c>
      <c r="F3" s="127"/>
      <c r="G3" s="127"/>
      <c r="H3" s="127"/>
    </row>
    <row r="4" spans="1:8" x14ac:dyDescent="0.2">
      <c r="A4" s="114"/>
      <c r="B4" s="114"/>
      <c r="C4" s="114"/>
      <c r="D4" s="10" t="s">
        <v>26</v>
      </c>
      <c r="E4" s="126" t="s">
        <v>204</v>
      </c>
      <c r="F4" s="126"/>
      <c r="G4" s="126"/>
      <c r="H4" s="126"/>
    </row>
    <row r="5" spans="1:8" x14ac:dyDescent="0.2">
      <c r="A5" s="114"/>
      <c r="B5" s="114"/>
      <c r="C5" s="114"/>
      <c r="D5" s="10" t="s">
        <v>158</v>
      </c>
      <c r="E5" s="141" t="s">
        <v>362</v>
      </c>
      <c r="F5" s="126"/>
      <c r="G5" s="126"/>
      <c r="H5" s="126"/>
    </row>
    <row r="6" spans="1:8" x14ac:dyDescent="0.2">
      <c r="A6" s="114"/>
      <c r="B6" s="114"/>
      <c r="C6" s="114"/>
      <c r="D6" s="10" t="s">
        <v>160</v>
      </c>
      <c r="E6" s="126" t="s">
        <v>207</v>
      </c>
      <c r="F6" s="126"/>
      <c r="G6" s="126"/>
      <c r="H6" s="126"/>
    </row>
    <row r="7" spans="1:8" x14ac:dyDescent="0.2">
      <c r="A7" s="114"/>
      <c r="B7" s="114"/>
      <c r="C7" s="114"/>
      <c r="D7" s="10" t="s">
        <v>30</v>
      </c>
      <c r="E7" s="128" t="s">
        <v>208</v>
      </c>
      <c r="F7" s="128"/>
      <c r="G7" s="128"/>
      <c r="H7" s="128"/>
    </row>
    <row r="8" spans="1:8" x14ac:dyDescent="0.2">
      <c r="A8" s="114"/>
      <c r="B8" s="114"/>
      <c r="C8" s="114"/>
      <c r="D8" s="63"/>
      <c r="E8" s="114" t="s">
        <v>162</v>
      </c>
      <c r="F8" s="114"/>
      <c r="G8" s="114"/>
      <c r="H8" s="114"/>
    </row>
    <row r="9" spans="1:8" x14ac:dyDescent="0.2">
      <c r="A9" s="124" t="s">
        <v>210</v>
      </c>
      <c r="B9" s="124"/>
      <c r="C9" s="125" t="s">
        <v>361</v>
      </c>
      <c r="D9" s="64" t="s">
        <v>163</v>
      </c>
      <c r="E9" s="123">
        <f>SUM(E10:F19)</f>
        <v>98</v>
      </c>
      <c r="F9" s="123"/>
      <c r="G9" s="122">
        <v>1</v>
      </c>
      <c r="H9" s="122"/>
    </row>
    <row r="10" spans="1:8" x14ac:dyDescent="0.2">
      <c r="A10" s="124"/>
      <c r="B10" s="124"/>
      <c r="C10" s="125"/>
      <c r="D10" s="22" t="s">
        <v>97</v>
      </c>
      <c r="E10" s="121">
        <f>COUNTIF(E22:E222,"OK")</f>
        <v>58</v>
      </c>
      <c r="F10" s="121"/>
      <c r="G10" s="122">
        <f>E10/E9</f>
        <v>0.59183673469387754</v>
      </c>
      <c r="H10" s="122"/>
    </row>
    <row r="11" spans="1:8" x14ac:dyDescent="0.2">
      <c r="A11" s="124"/>
      <c r="B11" s="124"/>
      <c r="C11" s="125"/>
      <c r="D11" s="22" t="s">
        <v>99</v>
      </c>
      <c r="E11" s="121">
        <f>COUNTIF(E22:E222,"Partially tested")</f>
        <v>0</v>
      </c>
      <c r="F11" s="121"/>
      <c r="G11" s="122">
        <f>E11/E9</f>
        <v>0</v>
      </c>
      <c r="H11" s="122"/>
    </row>
    <row r="12" spans="1:8" x14ac:dyDescent="0.2">
      <c r="A12" s="124"/>
      <c r="B12" s="124"/>
      <c r="C12" s="125"/>
      <c r="D12" s="22" t="s">
        <v>94</v>
      </c>
      <c r="E12" s="121">
        <f>COUNTIF(E22:E222,"Enhancement")</f>
        <v>0</v>
      </c>
      <c r="F12" s="121"/>
      <c r="G12" s="122">
        <f>E12/E9</f>
        <v>0</v>
      </c>
      <c r="H12" s="122"/>
    </row>
    <row r="13" spans="1:8" x14ac:dyDescent="0.2">
      <c r="A13" s="124"/>
      <c r="B13" s="124"/>
      <c r="C13" s="125"/>
      <c r="D13" s="22" t="s">
        <v>92</v>
      </c>
      <c r="E13" s="121">
        <f>COUNTIF(E22:E222,"Minor")</f>
        <v>25</v>
      </c>
      <c r="F13" s="121"/>
      <c r="G13" s="122">
        <f>E13/E9</f>
        <v>0.25510204081632654</v>
      </c>
      <c r="H13" s="122"/>
    </row>
    <row r="14" spans="1:8" x14ac:dyDescent="0.2">
      <c r="A14" s="124"/>
      <c r="B14" s="124"/>
      <c r="C14" s="125"/>
      <c r="D14" s="22" t="s">
        <v>90</v>
      </c>
      <c r="E14" s="121">
        <f>COUNTIF(E22:E222,"Average")</f>
        <v>9</v>
      </c>
      <c r="F14" s="121"/>
      <c r="G14" s="122">
        <f>E14/E9</f>
        <v>9.1836734693877556E-2</v>
      </c>
      <c r="H14" s="122"/>
    </row>
    <row r="15" spans="1:8" x14ac:dyDescent="0.2">
      <c r="A15" s="124"/>
      <c r="B15" s="124"/>
      <c r="C15" s="125"/>
      <c r="D15" s="22" t="s">
        <v>88</v>
      </c>
      <c r="E15" s="121">
        <f>COUNTIF(E22:E222,"Major")</f>
        <v>6</v>
      </c>
      <c r="F15" s="121"/>
      <c r="G15" s="122">
        <f>E15/E9</f>
        <v>6.1224489795918366E-2</v>
      </c>
      <c r="H15" s="122"/>
    </row>
    <row r="16" spans="1:8" x14ac:dyDescent="0.2">
      <c r="A16" s="124"/>
      <c r="B16" s="124"/>
      <c r="C16" s="125"/>
      <c r="D16" s="22" t="s">
        <v>86</v>
      </c>
      <c r="E16" s="121">
        <f>COUNTIF(E22:E222,"Critical")</f>
        <v>0</v>
      </c>
      <c r="F16" s="121"/>
      <c r="G16" s="122">
        <f>E16/E9</f>
        <v>0</v>
      </c>
      <c r="H16" s="122"/>
    </row>
    <row r="17" spans="1:8" x14ac:dyDescent="0.2">
      <c r="A17" s="124"/>
      <c r="B17" s="124"/>
      <c r="C17" s="125"/>
      <c r="D17" s="22" t="s">
        <v>101</v>
      </c>
      <c r="E17" s="121">
        <f>COUNTIF(E22:E222,"Not available")</f>
        <v>0</v>
      </c>
      <c r="F17" s="121"/>
      <c r="G17" s="122">
        <f>E17/E9</f>
        <v>0</v>
      </c>
      <c r="H17" s="122"/>
    </row>
    <row r="18" spans="1:8" x14ac:dyDescent="0.2">
      <c r="A18" s="124"/>
      <c r="B18" s="124"/>
      <c r="C18" s="125"/>
      <c r="D18" s="22" t="s">
        <v>103</v>
      </c>
      <c r="E18" s="121">
        <f>COUNTIF(E22:E222,"Not implemented")</f>
        <v>0</v>
      </c>
      <c r="F18" s="121"/>
      <c r="G18" s="122"/>
      <c r="H18" s="122"/>
    </row>
    <row r="19" spans="1:8" x14ac:dyDescent="0.2">
      <c r="A19" s="124"/>
      <c r="B19" s="124"/>
      <c r="C19" s="125"/>
      <c r="D19" s="22" t="s">
        <v>105</v>
      </c>
      <c r="E19" s="121">
        <f>COUNTIF(E22:E222,"Not tested")</f>
        <v>0</v>
      </c>
      <c r="F19" s="121"/>
      <c r="G19" s="122"/>
      <c r="H19" s="122"/>
    </row>
    <row r="20" spans="1:8" x14ac:dyDescent="0.2">
      <c r="A20" s="124"/>
      <c r="B20" s="124"/>
      <c r="C20" s="125"/>
      <c r="D20" s="65" t="s">
        <v>164</v>
      </c>
      <c r="E20" s="123">
        <f>ROUND(SUM(H22:H22,)/60, 2)</f>
        <v>0</v>
      </c>
      <c r="F20" s="123"/>
      <c r="G20" s="122"/>
      <c r="H20" s="122"/>
    </row>
    <row r="21" spans="1:8" ht="24" x14ac:dyDescent="0.2">
      <c r="A21" s="66" t="s">
        <v>165</v>
      </c>
      <c r="B21" s="66" t="s">
        <v>166</v>
      </c>
      <c r="C21" s="66" t="s">
        <v>167</v>
      </c>
      <c r="D21" s="66" t="s">
        <v>168</v>
      </c>
      <c r="E21" s="66" t="s">
        <v>169</v>
      </c>
      <c r="F21" s="66" t="s">
        <v>170</v>
      </c>
      <c r="G21" s="66" t="s">
        <v>26</v>
      </c>
      <c r="H21" s="67" t="s">
        <v>171</v>
      </c>
    </row>
    <row r="22" spans="1:8" x14ac:dyDescent="0.2">
      <c r="A22" s="44" t="s">
        <v>172</v>
      </c>
      <c r="B22" s="107" t="s">
        <v>360</v>
      </c>
      <c r="C22" s="70" t="s">
        <v>213</v>
      </c>
      <c r="D22" s="70" t="s">
        <v>214</v>
      </c>
      <c r="E22" s="22" t="s">
        <v>97</v>
      </c>
      <c r="F22" s="71"/>
      <c r="G22" s="72" t="s">
        <v>204</v>
      </c>
      <c r="H22" s="72"/>
    </row>
    <row r="23" spans="1:8" x14ac:dyDescent="0.2">
      <c r="A23" s="21" t="s">
        <v>211</v>
      </c>
      <c r="B23" s="107" t="s">
        <v>360</v>
      </c>
      <c r="C23" s="38" t="s">
        <v>215</v>
      </c>
      <c r="D23" s="70" t="s">
        <v>216</v>
      </c>
      <c r="E23" s="22" t="s">
        <v>97</v>
      </c>
      <c r="F23" s="21"/>
      <c r="G23" s="72" t="s">
        <v>204</v>
      </c>
      <c r="H23" s="21"/>
    </row>
    <row r="24" spans="1:8" x14ac:dyDescent="0.2">
      <c r="A24" s="108" t="s">
        <v>11</v>
      </c>
      <c r="B24" s="107" t="s">
        <v>360</v>
      </c>
      <c r="C24" s="38" t="s">
        <v>217</v>
      </c>
      <c r="D24" s="21" t="s">
        <v>218</v>
      </c>
      <c r="E24" s="22" t="s">
        <v>97</v>
      </c>
      <c r="F24" s="21"/>
      <c r="G24" s="72" t="s">
        <v>204</v>
      </c>
      <c r="H24" s="21"/>
    </row>
    <row r="25" spans="1:8" x14ac:dyDescent="0.2">
      <c r="A25" s="108" t="s">
        <v>11</v>
      </c>
      <c r="B25" s="107" t="s">
        <v>360</v>
      </c>
      <c r="C25" s="38" t="s">
        <v>367</v>
      </c>
      <c r="D25" s="21" t="s">
        <v>368</v>
      </c>
      <c r="E25" s="22" t="s">
        <v>88</v>
      </c>
      <c r="F25" s="21"/>
      <c r="G25" s="72" t="s">
        <v>204</v>
      </c>
      <c r="H25" s="21"/>
    </row>
    <row r="26" spans="1:8" x14ac:dyDescent="0.2">
      <c r="A26" s="108" t="s">
        <v>11</v>
      </c>
      <c r="B26" s="107" t="s">
        <v>369</v>
      </c>
      <c r="C26" s="38" t="s">
        <v>370</v>
      </c>
      <c r="D26" s="21" t="s">
        <v>371</v>
      </c>
      <c r="E26" s="22" t="s">
        <v>88</v>
      </c>
      <c r="F26" s="21"/>
      <c r="G26" s="72" t="s">
        <v>204</v>
      </c>
      <c r="H26" s="21"/>
    </row>
    <row r="27" spans="1:8" x14ac:dyDescent="0.2">
      <c r="A27" s="108" t="s">
        <v>11</v>
      </c>
      <c r="B27" s="107" t="s">
        <v>360</v>
      </c>
      <c r="C27" s="38" t="s">
        <v>219</v>
      </c>
      <c r="D27" s="21" t="s">
        <v>220</v>
      </c>
      <c r="E27" s="22" t="s">
        <v>97</v>
      </c>
      <c r="F27" s="21"/>
      <c r="G27" s="72" t="s">
        <v>204</v>
      </c>
      <c r="H27" s="21"/>
    </row>
    <row r="28" spans="1:8" x14ac:dyDescent="0.2">
      <c r="A28" s="69"/>
      <c r="B28" s="69" t="s">
        <v>349</v>
      </c>
      <c r="C28" s="69"/>
      <c r="D28" s="69"/>
      <c r="E28" s="69"/>
      <c r="F28" s="69"/>
      <c r="G28" s="69"/>
      <c r="H28" s="69"/>
    </row>
    <row r="29" spans="1:8" x14ac:dyDescent="0.2">
      <c r="A29" s="108" t="s">
        <v>13</v>
      </c>
      <c r="B29" s="112" t="s">
        <v>212</v>
      </c>
      <c r="C29" s="38" t="s">
        <v>221</v>
      </c>
      <c r="D29" s="21" t="s">
        <v>222</v>
      </c>
      <c r="E29" s="22" t="s">
        <v>92</v>
      </c>
      <c r="F29" s="21"/>
      <c r="G29" s="72" t="s">
        <v>204</v>
      </c>
      <c r="H29" s="21"/>
    </row>
    <row r="30" spans="1:8" x14ac:dyDescent="0.2">
      <c r="A30" s="108" t="s">
        <v>13</v>
      </c>
      <c r="B30" s="112" t="s">
        <v>212</v>
      </c>
      <c r="C30" s="38" t="s">
        <v>223</v>
      </c>
      <c r="D30" s="21" t="s">
        <v>224</v>
      </c>
      <c r="E30" s="22" t="s">
        <v>97</v>
      </c>
      <c r="F30" s="21"/>
      <c r="G30" s="72" t="s">
        <v>204</v>
      </c>
      <c r="H30" s="21"/>
    </row>
    <row r="31" spans="1:8" x14ac:dyDescent="0.2">
      <c r="A31" s="108" t="s">
        <v>13</v>
      </c>
      <c r="B31" s="112" t="s">
        <v>212</v>
      </c>
      <c r="C31" s="38" t="s">
        <v>225</v>
      </c>
      <c r="D31" s="21" t="s">
        <v>226</v>
      </c>
      <c r="E31" s="22" t="s">
        <v>97</v>
      </c>
      <c r="F31" s="21"/>
      <c r="G31" s="72" t="s">
        <v>204</v>
      </c>
      <c r="H31" s="21"/>
    </row>
    <row r="32" spans="1:8" x14ac:dyDescent="0.2">
      <c r="A32" s="108" t="s">
        <v>13</v>
      </c>
      <c r="B32" s="112" t="s">
        <v>212</v>
      </c>
      <c r="C32" s="38" t="s">
        <v>227</v>
      </c>
      <c r="D32" s="21" t="s">
        <v>228</v>
      </c>
      <c r="E32" s="22" t="s">
        <v>92</v>
      </c>
      <c r="F32" s="21"/>
      <c r="G32" s="72" t="s">
        <v>204</v>
      </c>
      <c r="H32" s="21"/>
    </row>
    <row r="33" spans="1:8" x14ac:dyDescent="0.2">
      <c r="A33" s="108" t="s">
        <v>13</v>
      </c>
      <c r="B33" s="112" t="s">
        <v>212</v>
      </c>
      <c r="C33" s="38" t="s">
        <v>229</v>
      </c>
      <c r="D33" s="21" t="s">
        <v>230</v>
      </c>
      <c r="E33" s="22" t="s">
        <v>92</v>
      </c>
      <c r="F33" s="21"/>
      <c r="G33" s="72" t="s">
        <v>204</v>
      </c>
      <c r="H33" s="21"/>
    </row>
    <row r="34" spans="1:8" x14ac:dyDescent="0.2">
      <c r="A34" s="108" t="s">
        <v>13</v>
      </c>
      <c r="B34" s="112" t="s">
        <v>212</v>
      </c>
      <c r="C34" s="38" t="s">
        <v>231</v>
      </c>
      <c r="D34" s="21" t="s">
        <v>232</v>
      </c>
      <c r="E34" s="22" t="s">
        <v>97</v>
      </c>
      <c r="F34" s="21"/>
      <c r="G34" s="72" t="s">
        <v>204</v>
      </c>
      <c r="H34" s="21"/>
    </row>
    <row r="35" spans="1:8" ht="22.5" x14ac:dyDescent="0.2">
      <c r="A35" s="108" t="s">
        <v>11</v>
      </c>
      <c r="B35" s="112" t="s">
        <v>212</v>
      </c>
      <c r="C35" s="38" t="s">
        <v>233</v>
      </c>
      <c r="D35" s="38" t="s">
        <v>301</v>
      </c>
      <c r="E35" s="22" t="s">
        <v>97</v>
      </c>
      <c r="F35" s="21"/>
      <c r="G35" s="72" t="s">
        <v>204</v>
      </c>
      <c r="H35" s="21"/>
    </row>
    <row r="36" spans="1:8" x14ac:dyDescent="0.2">
      <c r="A36" s="108" t="s">
        <v>13</v>
      </c>
      <c r="B36" s="112" t="s">
        <v>212</v>
      </c>
      <c r="C36" s="38" t="s">
        <v>250</v>
      </c>
      <c r="D36" s="21" t="s">
        <v>251</v>
      </c>
      <c r="E36" s="22" t="s">
        <v>97</v>
      </c>
      <c r="F36" s="21"/>
      <c r="G36" s="72" t="s">
        <v>204</v>
      </c>
      <c r="H36" s="21"/>
    </row>
    <row r="37" spans="1:8" x14ac:dyDescent="0.2">
      <c r="A37" s="108" t="s">
        <v>13</v>
      </c>
      <c r="B37" s="112" t="s">
        <v>212</v>
      </c>
      <c r="C37" s="38" t="s">
        <v>270</v>
      </c>
      <c r="D37" s="21" t="s">
        <v>271</v>
      </c>
      <c r="E37" s="22" t="s">
        <v>97</v>
      </c>
      <c r="F37" s="21"/>
      <c r="G37" s="72" t="s">
        <v>204</v>
      </c>
      <c r="H37" s="21"/>
    </row>
    <row r="38" spans="1:8" x14ac:dyDescent="0.2">
      <c r="A38" s="108" t="s">
        <v>13</v>
      </c>
      <c r="B38" s="112" t="s">
        <v>212</v>
      </c>
      <c r="C38" s="38" t="s">
        <v>277</v>
      </c>
      <c r="D38" s="21" t="s">
        <v>278</v>
      </c>
      <c r="E38" s="22" t="s">
        <v>97</v>
      </c>
      <c r="F38" s="21"/>
      <c r="G38" s="72" t="s">
        <v>204</v>
      </c>
      <c r="H38" s="21"/>
    </row>
    <row r="39" spans="1:8" x14ac:dyDescent="0.2">
      <c r="A39" s="108" t="s">
        <v>11</v>
      </c>
      <c r="B39" s="112" t="s">
        <v>257</v>
      </c>
      <c r="C39" s="38" t="s">
        <v>234</v>
      </c>
      <c r="D39" s="21" t="s">
        <v>235</v>
      </c>
      <c r="E39" s="22" t="s">
        <v>97</v>
      </c>
      <c r="F39" s="21"/>
      <c r="G39" s="72" t="s">
        <v>204</v>
      </c>
      <c r="H39" s="21"/>
    </row>
    <row r="40" spans="1:8" x14ac:dyDescent="0.2">
      <c r="A40" s="108" t="s">
        <v>13</v>
      </c>
      <c r="B40" s="112" t="s">
        <v>257</v>
      </c>
      <c r="C40" s="38" t="s">
        <v>236</v>
      </c>
      <c r="D40" s="21" t="s">
        <v>237</v>
      </c>
      <c r="E40" s="22" t="s">
        <v>97</v>
      </c>
      <c r="F40" s="21"/>
      <c r="G40" s="72" t="s">
        <v>204</v>
      </c>
      <c r="H40" s="21"/>
    </row>
    <row r="41" spans="1:8" x14ac:dyDescent="0.2">
      <c r="A41" s="108" t="s">
        <v>11</v>
      </c>
      <c r="B41" s="112" t="s">
        <v>257</v>
      </c>
      <c r="C41" s="38" t="s">
        <v>238</v>
      </c>
      <c r="D41" s="21" t="s">
        <v>239</v>
      </c>
      <c r="E41" s="22" t="s">
        <v>97</v>
      </c>
      <c r="F41" s="21"/>
      <c r="G41" s="72" t="s">
        <v>204</v>
      </c>
      <c r="H41" s="21"/>
    </row>
    <row r="42" spans="1:8" x14ac:dyDescent="0.2">
      <c r="A42" s="108" t="s">
        <v>13</v>
      </c>
      <c r="B42" s="112" t="s">
        <v>257</v>
      </c>
      <c r="C42" s="38" t="s">
        <v>240</v>
      </c>
      <c r="D42" s="21" t="s">
        <v>241</v>
      </c>
      <c r="E42" s="22" t="s">
        <v>97</v>
      </c>
      <c r="F42" s="21"/>
      <c r="G42" s="72" t="s">
        <v>204</v>
      </c>
      <c r="H42" s="21"/>
    </row>
    <row r="43" spans="1:8" x14ac:dyDescent="0.2">
      <c r="A43" s="108" t="s">
        <v>13</v>
      </c>
      <c r="B43" s="112" t="s">
        <v>257</v>
      </c>
      <c r="C43" s="38" t="s">
        <v>244</v>
      </c>
      <c r="D43" s="21" t="s">
        <v>242</v>
      </c>
      <c r="E43" s="22" t="s">
        <v>90</v>
      </c>
      <c r="F43" s="21"/>
      <c r="G43" s="72" t="s">
        <v>204</v>
      </c>
      <c r="H43" s="21"/>
    </row>
    <row r="44" spans="1:8" x14ac:dyDescent="0.2">
      <c r="A44" s="108" t="s">
        <v>13</v>
      </c>
      <c r="B44" s="112" t="s">
        <v>257</v>
      </c>
      <c r="C44" s="38" t="s">
        <v>243</v>
      </c>
      <c r="D44" s="21" t="s">
        <v>241</v>
      </c>
      <c r="E44" s="22" t="s">
        <v>97</v>
      </c>
      <c r="F44" s="21"/>
      <c r="G44" s="72" t="s">
        <v>204</v>
      </c>
      <c r="H44" s="21"/>
    </row>
    <row r="45" spans="1:8" x14ac:dyDescent="0.2">
      <c r="A45" s="108" t="s">
        <v>13</v>
      </c>
      <c r="B45" s="112" t="s">
        <v>257</v>
      </c>
      <c r="C45" s="38" t="s">
        <v>245</v>
      </c>
      <c r="D45" s="21" t="s">
        <v>242</v>
      </c>
      <c r="E45" s="22" t="s">
        <v>90</v>
      </c>
      <c r="F45" s="21"/>
      <c r="G45" s="72" t="s">
        <v>204</v>
      </c>
      <c r="H45" s="21"/>
    </row>
    <row r="46" spans="1:8" x14ac:dyDescent="0.2">
      <c r="A46" s="108" t="s">
        <v>13</v>
      </c>
      <c r="B46" s="112" t="s">
        <v>257</v>
      </c>
      <c r="C46" s="38" t="s">
        <v>246</v>
      </c>
      <c r="D46" s="21" t="s">
        <v>247</v>
      </c>
      <c r="E46" s="22" t="s">
        <v>92</v>
      </c>
      <c r="F46" s="21"/>
      <c r="G46" s="72" t="s">
        <v>204</v>
      </c>
      <c r="H46" s="21"/>
    </row>
    <row r="47" spans="1:8" x14ac:dyDescent="0.2">
      <c r="A47" s="108" t="s">
        <v>172</v>
      </c>
      <c r="B47" s="112" t="s">
        <v>257</v>
      </c>
      <c r="C47" s="38" t="s">
        <v>248</v>
      </c>
      <c r="D47" s="21" t="s">
        <v>249</v>
      </c>
      <c r="E47" s="22" t="s">
        <v>97</v>
      </c>
      <c r="F47" s="21"/>
      <c r="G47" s="72" t="s">
        <v>204</v>
      </c>
      <c r="H47" s="21"/>
    </row>
    <row r="48" spans="1:8" x14ac:dyDescent="0.2">
      <c r="A48" s="108" t="s">
        <v>172</v>
      </c>
      <c r="B48" s="112" t="s">
        <v>259</v>
      </c>
      <c r="C48" s="38" t="s">
        <v>258</v>
      </c>
      <c r="D48" s="21" t="s">
        <v>252</v>
      </c>
      <c r="E48" s="22" t="s">
        <v>97</v>
      </c>
      <c r="F48" s="21"/>
      <c r="G48" s="72" t="s">
        <v>204</v>
      </c>
      <c r="H48" s="21"/>
    </row>
    <row r="49" spans="1:8" x14ac:dyDescent="0.2">
      <c r="A49" s="108" t="s">
        <v>11</v>
      </c>
      <c r="B49" s="112" t="s">
        <v>259</v>
      </c>
      <c r="C49" s="38" t="s">
        <v>253</v>
      </c>
      <c r="D49" s="21" t="s">
        <v>254</v>
      </c>
      <c r="E49" s="22" t="s">
        <v>88</v>
      </c>
      <c r="F49" s="21"/>
      <c r="G49" s="72" t="s">
        <v>204</v>
      </c>
      <c r="H49" s="21"/>
    </row>
    <row r="50" spans="1:8" x14ac:dyDescent="0.2">
      <c r="A50" s="108" t="s">
        <v>11</v>
      </c>
      <c r="B50" s="112" t="s">
        <v>259</v>
      </c>
      <c r="C50" s="38" t="s">
        <v>256</v>
      </c>
      <c r="D50" s="21" t="s">
        <v>255</v>
      </c>
      <c r="E50" s="22" t="s">
        <v>97</v>
      </c>
      <c r="F50" s="21"/>
      <c r="G50" s="72" t="s">
        <v>204</v>
      </c>
      <c r="H50" s="21"/>
    </row>
    <row r="51" spans="1:8" x14ac:dyDescent="0.2">
      <c r="A51" s="108" t="s">
        <v>13</v>
      </c>
      <c r="B51" s="112" t="s">
        <v>259</v>
      </c>
      <c r="C51" s="38" t="s">
        <v>260</v>
      </c>
      <c r="D51" s="21" t="s">
        <v>261</v>
      </c>
      <c r="E51" s="22" t="s">
        <v>92</v>
      </c>
      <c r="F51" s="21"/>
      <c r="G51" s="72" t="s">
        <v>204</v>
      </c>
      <c r="H51" s="21"/>
    </row>
    <row r="52" spans="1:8" x14ac:dyDescent="0.2">
      <c r="A52" s="108" t="s">
        <v>11</v>
      </c>
      <c r="B52" s="112" t="s">
        <v>259</v>
      </c>
      <c r="C52" s="38" t="s">
        <v>262</v>
      </c>
      <c r="D52" s="21" t="s">
        <v>263</v>
      </c>
      <c r="E52" s="22" t="s">
        <v>97</v>
      </c>
      <c r="F52" s="21"/>
      <c r="G52" s="72" t="s">
        <v>204</v>
      </c>
      <c r="H52" s="21"/>
    </row>
    <row r="53" spans="1:8" x14ac:dyDescent="0.2">
      <c r="A53" s="108" t="s">
        <v>13</v>
      </c>
      <c r="B53" s="112" t="s">
        <v>259</v>
      </c>
      <c r="C53" s="38" t="s">
        <v>264</v>
      </c>
      <c r="D53" s="21" t="s">
        <v>265</v>
      </c>
      <c r="E53" s="22" t="s">
        <v>97</v>
      </c>
      <c r="F53" s="21"/>
      <c r="G53" s="72" t="s">
        <v>204</v>
      </c>
      <c r="H53" s="21"/>
    </row>
    <row r="54" spans="1:8" x14ac:dyDescent="0.2">
      <c r="A54" s="108" t="s">
        <v>11</v>
      </c>
      <c r="B54" s="112" t="s">
        <v>323</v>
      </c>
      <c r="C54" s="38" t="s">
        <v>266</v>
      </c>
      <c r="D54" s="21" t="s">
        <v>267</v>
      </c>
      <c r="E54" s="22" t="s">
        <v>97</v>
      </c>
      <c r="F54" s="21"/>
      <c r="G54" s="72" t="s">
        <v>204</v>
      </c>
      <c r="H54" s="21"/>
    </row>
    <row r="55" spans="1:8" x14ac:dyDescent="0.2">
      <c r="A55" s="108" t="s">
        <v>11</v>
      </c>
      <c r="B55" s="112" t="s">
        <v>324</v>
      </c>
      <c r="C55" s="38" t="s">
        <v>269</v>
      </c>
      <c r="D55" s="21" t="s">
        <v>268</v>
      </c>
      <c r="E55" s="22" t="s">
        <v>97</v>
      </c>
      <c r="F55" s="21"/>
      <c r="G55" s="72" t="s">
        <v>204</v>
      </c>
      <c r="H55" s="21"/>
    </row>
    <row r="56" spans="1:8" x14ac:dyDescent="0.2">
      <c r="A56" s="69"/>
      <c r="B56" s="69" t="s">
        <v>272</v>
      </c>
      <c r="C56" s="69"/>
      <c r="D56" s="69"/>
      <c r="E56" s="69"/>
      <c r="F56" s="69"/>
      <c r="G56" s="69"/>
      <c r="H56" s="69"/>
    </row>
    <row r="57" spans="1:8" x14ac:dyDescent="0.2">
      <c r="A57" s="21" t="s">
        <v>205</v>
      </c>
      <c r="B57" s="109" t="s">
        <v>357</v>
      </c>
      <c r="C57" s="70" t="s">
        <v>274</v>
      </c>
      <c r="D57" s="35" t="s">
        <v>273</v>
      </c>
      <c r="E57" s="22" t="s">
        <v>97</v>
      </c>
      <c r="F57" s="110"/>
      <c r="G57" s="72" t="s">
        <v>204</v>
      </c>
    </row>
    <row r="58" spans="1:8" x14ac:dyDescent="0.2">
      <c r="A58" s="108" t="s">
        <v>13</v>
      </c>
      <c r="B58" s="109" t="s">
        <v>357</v>
      </c>
      <c r="C58" s="70" t="s">
        <v>275</v>
      </c>
      <c r="D58" s="21" t="s">
        <v>276</v>
      </c>
      <c r="E58" s="22" t="s">
        <v>92</v>
      </c>
      <c r="F58" s="21"/>
      <c r="G58" s="72" t="s">
        <v>204</v>
      </c>
      <c r="H58" s="21"/>
    </row>
    <row r="59" spans="1:8" x14ac:dyDescent="0.2">
      <c r="A59" s="108" t="s">
        <v>13</v>
      </c>
      <c r="B59" s="109" t="s">
        <v>357</v>
      </c>
      <c r="C59" s="70" t="s">
        <v>279</v>
      </c>
      <c r="D59" s="21" t="s">
        <v>280</v>
      </c>
      <c r="E59" s="22" t="s">
        <v>92</v>
      </c>
      <c r="F59" s="21"/>
      <c r="G59" s="72" t="s">
        <v>204</v>
      </c>
      <c r="H59" s="21"/>
    </row>
    <row r="60" spans="1:8" x14ac:dyDescent="0.2">
      <c r="A60" s="108" t="s">
        <v>13</v>
      </c>
      <c r="B60" s="109" t="s">
        <v>357</v>
      </c>
      <c r="C60" s="70" t="s">
        <v>282</v>
      </c>
      <c r="D60" s="21" t="s">
        <v>283</v>
      </c>
      <c r="E60" s="22" t="s">
        <v>92</v>
      </c>
      <c r="F60" s="21"/>
      <c r="G60" s="72" t="s">
        <v>204</v>
      </c>
      <c r="H60" s="21"/>
    </row>
    <row r="61" spans="1:8" x14ac:dyDescent="0.2">
      <c r="A61" s="108" t="s">
        <v>13</v>
      </c>
      <c r="B61" s="109" t="s">
        <v>357</v>
      </c>
      <c r="C61" s="70" t="s">
        <v>281</v>
      </c>
      <c r="D61" s="21" t="s">
        <v>284</v>
      </c>
      <c r="E61" s="22" t="s">
        <v>90</v>
      </c>
      <c r="F61" s="21"/>
      <c r="G61" s="72" t="s">
        <v>204</v>
      </c>
      <c r="H61" s="21"/>
    </row>
    <row r="62" spans="1:8" x14ac:dyDescent="0.2">
      <c r="A62" s="108" t="s">
        <v>13</v>
      </c>
      <c r="B62" s="109" t="s">
        <v>357</v>
      </c>
      <c r="C62" s="70" t="s">
        <v>285</v>
      </c>
      <c r="D62" s="21" t="s">
        <v>286</v>
      </c>
      <c r="E62" s="22" t="s">
        <v>90</v>
      </c>
      <c r="F62" s="21"/>
      <c r="G62" s="72" t="s">
        <v>204</v>
      </c>
      <c r="H62" s="21"/>
    </row>
    <row r="63" spans="1:8" x14ac:dyDescent="0.2">
      <c r="A63" s="108" t="s">
        <v>13</v>
      </c>
      <c r="B63" s="109" t="s">
        <v>357</v>
      </c>
      <c r="C63" s="70" t="s">
        <v>287</v>
      </c>
      <c r="D63" s="21" t="s">
        <v>292</v>
      </c>
      <c r="E63" s="22" t="s">
        <v>90</v>
      </c>
      <c r="F63" s="21"/>
      <c r="G63" s="72" t="s">
        <v>204</v>
      </c>
      <c r="H63" s="21"/>
    </row>
    <row r="64" spans="1:8" x14ac:dyDescent="0.2">
      <c r="A64" s="108" t="s">
        <v>13</v>
      </c>
      <c r="B64" s="109" t="s">
        <v>357</v>
      </c>
      <c r="C64" s="70" t="s">
        <v>288</v>
      </c>
      <c r="D64" s="21" t="s">
        <v>290</v>
      </c>
      <c r="E64" s="22" t="s">
        <v>90</v>
      </c>
      <c r="F64" s="21"/>
      <c r="G64" s="72" t="s">
        <v>204</v>
      </c>
      <c r="H64" s="21"/>
    </row>
    <row r="65" spans="1:8" x14ac:dyDescent="0.2">
      <c r="A65" s="108" t="s">
        <v>13</v>
      </c>
      <c r="B65" s="109" t="s">
        <v>357</v>
      </c>
      <c r="C65" s="70" t="s">
        <v>289</v>
      </c>
      <c r="D65" s="21" t="s">
        <v>291</v>
      </c>
      <c r="E65" s="22" t="s">
        <v>90</v>
      </c>
      <c r="F65" s="21"/>
      <c r="G65" s="72" t="s">
        <v>204</v>
      </c>
      <c r="H65" s="21"/>
    </row>
    <row r="66" spans="1:8" x14ac:dyDescent="0.2">
      <c r="A66" s="108" t="s">
        <v>13</v>
      </c>
      <c r="B66" s="109" t="s">
        <v>357</v>
      </c>
      <c r="C66" s="70" t="s">
        <v>293</v>
      </c>
      <c r="D66" s="21" t="s">
        <v>294</v>
      </c>
      <c r="E66" s="22" t="s">
        <v>90</v>
      </c>
      <c r="F66" s="21"/>
      <c r="G66" s="72" t="s">
        <v>204</v>
      </c>
      <c r="H66" s="21"/>
    </row>
    <row r="67" spans="1:8" x14ac:dyDescent="0.2">
      <c r="A67" s="108" t="s">
        <v>13</v>
      </c>
      <c r="B67" s="109" t="s">
        <v>357</v>
      </c>
      <c r="C67" s="70" t="s">
        <v>295</v>
      </c>
      <c r="D67" s="21" t="s">
        <v>241</v>
      </c>
      <c r="E67" s="22" t="s">
        <v>97</v>
      </c>
      <c r="F67" s="21"/>
      <c r="G67" s="72" t="s">
        <v>204</v>
      </c>
      <c r="H67" s="21"/>
    </row>
    <row r="68" spans="1:8" x14ac:dyDescent="0.2">
      <c r="A68" s="108" t="s">
        <v>13</v>
      </c>
      <c r="B68" s="109" t="s">
        <v>357</v>
      </c>
      <c r="C68" s="70" t="s">
        <v>296</v>
      </c>
      <c r="D68" s="21" t="s">
        <v>241</v>
      </c>
      <c r="E68" s="22" t="s">
        <v>97</v>
      </c>
      <c r="F68" s="21"/>
      <c r="G68" s="72" t="s">
        <v>204</v>
      </c>
      <c r="H68" s="21"/>
    </row>
    <row r="69" spans="1:8" x14ac:dyDescent="0.2">
      <c r="A69" s="108" t="s">
        <v>11</v>
      </c>
      <c r="B69" s="109" t="s">
        <v>357</v>
      </c>
      <c r="C69" s="70" t="s">
        <v>297</v>
      </c>
      <c r="D69" s="21" t="s">
        <v>298</v>
      </c>
      <c r="E69" s="22" t="s">
        <v>97</v>
      </c>
      <c r="F69" s="21"/>
      <c r="G69" s="72" t="s">
        <v>204</v>
      </c>
      <c r="H69" s="21"/>
    </row>
    <row r="70" spans="1:8" x14ac:dyDescent="0.2">
      <c r="A70" s="108" t="s">
        <v>13</v>
      </c>
      <c r="B70" s="109" t="s">
        <v>357</v>
      </c>
      <c r="C70" s="70" t="s">
        <v>299</v>
      </c>
      <c r="D70" s="21" t="s">
        <v>300</v>
      </c>
      <c r="E70" s="22" t="s">
        <v>92</v>
      </c>
      <c r="F70" s="21"/>
      <c r="G70" s="72" t="s">
        <v>204</v>
      </c>
      <c r="H70" s="21"/>
    </row>
    <row r="71" spans="1:8" x14ac:dyDescent="0.2">
      <c r="A71" s="69"/>
      <c r="B71" s="69" t="s">
        <v>328</v>
      </c>
      <c r="C71" s="69"/>
      <c r="D71" s="69"/>
      <c r="E71" s="69"/>
      <c r="F71" s="69"/>
      <c r="G71" s="69"/>
      <c r="H71" s="69"/>
    </row>
    <row r="72" spans="1:8" x14ac:dyDescent="0.2">
      <c r="A72" s="108" t="s">
        <v>172</v>
      </c>
      <c r="B72" s="109" t="s">
        <v>359</v>
      </c>
      <c r="C72" s="38" t="s">
        <v>346</v>
      </c>
      <c r="D72" s="21" t="s">
        <v>348</v>
      </c>
      <c r="E72" s="22" t="s">
        <v>97</v>
      </c>
      <c r="F72" s="21"/>
      <c r="G72" s="72" t="s">
        <v>204</v>
      </c>
      <c r="H72" s="21"/>
    </row>
    <row r="73" spans="1:8" x14ac:dyDescent="0.2">
      <c r="A73" s="108" t="s">
        <v>13</v>
      </c>
      <c r="B73" s="109" t="s">
        <v>212</v>
      </c>
      <c r="C73" s="38" t="s">
        <v>227</v>
      </c>
      <c r="D73" s="21" t="s">
        <v>228</v>
      </c>
      <c r="E73" s="22" t="s">
        <v>92</v>
      </c>
      <c r="F73" s="21"/>
      <c r="G73" s="72" t="s">
        <v>204</v>
      </c>
      <c r="H73" s="21"/>
    </row>
    <row r="74" spans="1:8" ht="22.5" x14ac:dyDescent="0.2">
      <c r="A74" s="108" t="s">
        <v>11</v>
      </c>
      <c r="B74" s="112" t="s">
        <v>212</v>
      </c>
      <c r="C74" s="38" t="s">
        <v>233</v>
      </c>
      <c r="D74" s="38" t="s">
        <v>325</v>
      </c>
      <c r="E74" s="22" t="s">
        <v>97</v>
      </c>
      <c r="F74" s="21"/>
      <c r="G74" s="72" t="s">
        <v>204</v>
      </c>
      <c r="H74" s="21"/>
    </row>
    <row r="75" spans="1:8" x14ac:dyDescent="0.2">
      <c r="A75" s="108" t="s">
        <v>13</v>
      </c>
      <c r="B75" s="112" t="s">
        <v>212</v>
      </c>
      <c r="C75" s="38" t="s">
        <v>277</v>
      </c>
      <c r="D75" s="21" t="s">
        <v>278</v>
      </c>
      <c r="E75" s="22" t="s">
        <v>97</v>
      </c>
      <c r="F75" s="21"/>
      <c r="G75" s="72" t="s">
        <v>204</v>
      </c>
      <c r="H75" s="21"/>
    </row>
    <row r="76" spans="1:8" x14ac:dyDescent="0.2">
      <c r="A76" s="108" t="s">
        <v>172</v>
      </c>
      <c r="B76" s="109" t="s">
        <v>372</v>
      </c>
      <c r="C76" s="70" t="s">
        <v>302</v>
      </c>
      <c r="D76" s="21" t="s">
        <v>303</v>
      </c>
      <c r="E76" s="22" t="s">
        <v>97</v>
      </c>
      <c r="F76" s="21"/>
      <c r="G76" s="72" t="s">
        <v>204</v>
      </c>
      <c r="H76" s="21"/>
    </row>
    <row r="77" spans="1:8" x14ac:dyDescent="0.2">
      <c r="A77" s="108" t="s">
        <v>13</v>
      </c>
      <c r="B77" s="109" t="s">
        <v>372</v>
      </c>
      <c r="C77" s="70" t="s">
        <v>304</v>
      </c>
      <c r="D77" s="21" t="s">
        <v>305</v>
      </c>
      <c r="E77" s="22" t="s">
        <v>92</v>
      </c>
      <c r="F77" s="21"/>
      <c r="G77" s="72" t="s">
        <v>204</v>
      </c>
      <c r="H77" s="21"/>
    </row>
    <row r="78" spans="1:8" x14ac:dyDescent="0.2">
      <c r="A78" s="108" t="s">
        <v>13</v>
      </c>
      <c r="B78" s="109" t="s">
        <v>372</v>
      </c>
      <c r="C78" s="70" t="s">
        <v>306</v>
      </c>
      <c r="D78" s="21" t="s">
        <v>307</v>
      </c>
      <c r="E78" s="22" t="s">
        <v>97</v>
      </c>
      <c r="F78" s="21"/>
      <c r="G78" s="72" t="s">
        <v>204</v>
      </c>
      <c r="H78" s="21"/>
    </row>
    <row r="79" spans="1:8" x14ac:dyDescent="0.2">
      <c r="A79" s="108" t="s">
        <v>13</v>
      </c>
      <c r="B79" s="109" t="s">
        <v>372</v>
      </c>
      <c r="C79" s="70" t="s">
        <v>363</v>
      </c>
      <c r="D79" s="21" t="s">
        <v>308</v>
      </c>
      <c r="E79" s="22" t="s">
        <v>90</v>
      </c>
      <c r="F79" s="21"/>
      <c r="G79" s="72" t="s">
        <v>204</v>
      </c>
      <c r="H79" s="21"/>
    </row>
    <row r="80" spans="1:8" x14ac:dyDescent="0.2">
      <c r="A80" s="108" t="s">
        <v>11</v>
      </c>
      <c r="B80" s="109" t="s">
        <v>372</v>
      </c>
      <c r="C80" s="70" t="s">
        <v>309</v>
      </c>
      <c r="D80" s="21" t="s">
        <v>310</v>
      </c>
      <c r="E80" s="22" t="s">
        <v>92</v>
      </c>
      <c r="F80" s="21"/>
      <c r="G80" s="72" t="s">
        <v>204</v>
      </c>
      <c r="H80" s="21"/>
    </row>
    <row r="81" spans="1:8" x14ac:dyDescent="0.2">
      <c r="A81" s="108" t="s">
        <v>13</v>
      </c>
      <c r="B81" s="109" t="s">
        <v>372</v>
      </c>
      <c r="C81" s="70" t="s">
        <v>311</v>
      </c>
      <c r="D81" s="21" t="s">
        <v>364</v>
      </c>
      <c r="E81" s="22" t="s">
        <v>97</v>
      </c>
      <c r="F81" s="21"/>
      <c r="G81" s="72" t="s">
        <v>204</v>
      </c>
      <c r="H81" s="21"/>
    </row>
    <row r="82" spans="1:8" x14ac:dyDescent="0.2">
      <c r="A82" s="108" t="s">
        <v>11</v>
      </c>
      <c r="B82" s="109" t="s">
        <v>372</v>
      </c>
      <c r="C82" s="70" t="s">
        <v>312</v>
      </c>
      <c r="D82" s="21" t="s">
        <v>313</v>
      </c>
      <c r="E82" s="22" t="s">
        <v>97</v>
      </c>
      <c r="F82" s="21"/>
      <c r="G82" s="72" t="s">
        <v>204</v>
      </c>
      <c r="H82" s="21"/>
    </row>
    <row r="83" spans="1:8" x14ac:dyDescent="0.2">
      <c r="A83" s="111" t="s">
        <v>11</v>
      </c>
      <c r="B83" s="109" t="s">
        <v>372</v>
      </c>
      <c r="C83" s="70" t="s">
        <v>314</v>
      </c>
      <c r="D83" s="21" t="s">
        <v>315</v>
      </c>
      <c r="E83" s="22" t="s">
        <v>97</v>
      </c>
      <c r="F83" s="21"/>
      <c r="G83" s="72" t="s">
        <v>204</v>
      </c>
      <c r="H83" s="21"/>
    </row>
    <row r="84" spans="1:8" x14ac:dyDescent="0.2">
      <c r="A84" s="111" t="s">
        <v>13</v>
      </c>
      <c r="B84" s="109" t="s">
        <v>372</v>
      </c>
      <c r="C84" s="70" t="s">
        <v>316</v>
      </c>
      <c r="D84" s="21" t="s">
        <v>317</v>
      </c>
      <c r="E84" s="22" t="s">
        <v>97</v>
      </c>
      <c r="F84" s="21"/>
      <c r="G84" s="72" t="s">
        <v>204</v>
      </c>
      <c r="H84" s="21"/>
    </row>
    <row r="85" spans="1:8" x14ac:dyDescent="0.2">
      <c r="A85" s="111" t="s">
        <v>13</v>
      </c>
      <c r="B85" s="109" t="s">
        <v>372</v>
      </c>
      <c r="C85" s="70" t="s">
        <v>318</v>
      </c>
      <c r="D85" s="21" t="s">
        <v>241</v>
      </c>
      <c r="E85" s="22" t="s">
        <v>97</v>
      </c>
      <c r="F85" s="21"/>
      <c r="G85" s="72" t="s">
        <v>204</v>
      </c>
      <c r="H85" s="21"/>
    </row>
    <row r="86" spans="1:8" x14ac:dyDescent="0.2">
      <c r="A86" s="111" t="s">
        <v>13</v>
      </c>
      <c r="B86" s="109" t="s">
        <v>372</v>
      </c>
      <c r="C86" s="70" t="s">
        <v>319</v>
      </c>
      <c r="D86" s="21" t="s">
        <v>320</v>
      </c>
      <c r="E86" s="22" t="s">
        <v>97</v>
      </c>
      <c r="F86" s="21"/>
      <c r="G86" s="72" t="s">
        <v>204</v>
      </c>
      <c r="H86" s="21"/>
    </row>
    <row r="87" spans="1:8" x14ac:dyDescent="0.2">
      <c r="A87" s="111" t="s">
        <v>172</v>
      </c>
      <c r="B87" s="109" t="s">
        <v>372</v>
      </c>
      <c r="C87" s="70" t="s">
        <v>321</v>
      </c>
      <c r="D87" s="21" t="s">
        <v>322</v>
      </c>
      <c r="E87" s="22" t="s">
        <v>97</v>
      </c>
      <c r="F87" s="21"/>
      <c r="G87" s="72" t="s">
        <v>204</v>
      </c>
      <c r="H87" s="21"/>
    </row>
    <row r="88" spans="1:8" x14ac:dyDescent="0.2">
      <c r="A88" s="108" t="s">
        <v>11</v>
      </c>
      <c r="B88" s="112" t="s">
        <v>323</v>
      </c>
      <c r="C88" s="38" t="s">
        <v>266</v>
      </c>
      <c r="D88" s="21" t="s">
        <v>267</v>
      </c>
      <c r="E88" s="22" t="s">
        <v>97</v>
      </c>
      <c r="F88" s="21"/>
      <c r="G88" s="72" t="s">
        <v>204</v>
      </c>
      <c r="H88" s="21"/>
    </row>
    <row r="89" spans="1:8" x14ac:dyDescent="0.2">
      <c r="A89" s="108" t="s">
        <v>11</v>
      </c>
      <c r="B89" s="109" t="s">
        <v>372</v>
      </c>
      <c r="C89" s="38" t="s">
        <v>373</v>
      </c>
      <c r="D89" s="21" t="s">
        <v>374</v>
      </c>
      <c r="E89" s="22" t="s">
        <v>88</v>
      </c>
      <c r="F89" s="21"/>
      <c r="G89" s="72"/>
      <c r="H89" s="21"/>
    </row>
    <row r="90" spans="1:8" x14ac:dyDescent="0.2">
      <c r="A90" s="108" t="s">
        <v>11</v>
      </c>
      <c r="B90" s="112" t="s">
        <v>324</v>
      </c>
      <c r="C90" s="38" t="s">
        <v>269</v>
      </c>
      <c r="D90" s="21" t="s">
        <v>268</v>
      </c>
      <c r="E90" s="22" t="s">
        <v>97</v>
      </c>
      <c r="F90" s="21"/>
      <c r="G90" s="72" t="s">
        <v>204</v>
      </c>
      <c r="H90" s="21"/>
    </row>
    <row r="91" spans="1:8" x14ac:dyDescent="0.2">
      <c r="A91" s="69"/>
      <c r="B91" s="69" t="s">
        <v>329</v>
      </c>
      <c r="C91" s="69"/>
      <c r="D91" s="69"/>
      <c r="E91" s="69"/>
      <c r="F91" s="69"/>
      <c r="G91" s="69"/>
      <c r="H91" s="69"/>
    </row>
    <row r="92" spans="1:8" x14ac:dyDescent="0.2">
      <c r="A92" s="108" t="s">
        <v>13</v>
      </c>
      <c r="B92" s="109" t="s">
        <v>212</v>
      </c>
      <c r="C92" s="38" t="s">
        <v>227</v>
      </c>
      <c r="D92" s="21" t="s">
        <v>228</v>
      </c>
      <c r="E92" s="22" t="s">
        <v>97</v>
      </c>
      <c r="F92" s="21"/>
      <c r="G92" s="72" t="s">
        <v>204</v>
      </c>
      <c r="H92" s="21"/>
    </row>
    <row r="93" spans="1:8" x14ac:dyDescent="0.2">
      <c r="A93" s="108" t="s">
        <v>172</v>
      </c>
      <c r="B93" s="109" t="s">
        <v>360</v>
      </c>
      <c r="C93" s="38" t="s">
        <v>346</v>
      </c>
      <c r="D93" s="21" t="s">
        <v>347</v>
      </c>
      <c r="E93" s="22" t="s">
        <v>97</v>
      </c>
      <c r="F93" s="21"/>
      <c r="G93" s="72" t="s">
        <v>204</v>
      </c>
      <c r="H93" s="21"/>
    </row>
    <row r="94" spans="1:8" ht="22.5" x14ac:dyDescent="0.2">
      <c r="A94" s="108" t="s">
        <v>11</v>
      </c>
      <c r="B94" s="112" t="s">
        <v>212</v>
      </c>
      <c r="C94" s="38" t="s">
        <v>233</v>
      </c>
      <c r="D94" s="38" t="s">
        <v>326</v>
      </c>
      <c r="E94" s="22" t="s">
        <v>97</v>
      </c>
      <c r="F94" s="21"/>
      <c r="G94" s="72" t="s">
        <v>204</v>
      </c>
      <c r="H94" s="21"/>
    </row>
    <row r="95" spans="1:8" x14ac:dyDescent="0.2">
      <c r="A95" s="21" t="s">
        <v>205</v>
      </c>
      <c r="B95" s="109" t="s">
        <v>327</v>
      </c>
      <c r="C95" s="70" t="s">
        <v>330</v>
      </c>
      <c r="D95" s="21" t="s">
        <v>331</v>
      </c>
      <c r="E95" s="22" t="s">
        <v>97</v>
      </c>
      <c r="F95" s="21"/>
      <c r="G95" s="72" t="s">
        <v>204</v>
      </c>
      <c r="H95" s="21"/>
    </row>
    <row r="96" spans="1:8" x14ac:dyDescent="0.2">
      <c r="A96" s="111" t="s">
        <v>13</v>
      </c>
      <c r="B96" s="109" t="s">
        <v>327</v>
      </c>
      <c r="C96" s="70" t="s">
        <v>332</v>
      </c>
      <c r="D96" s="21" t="s">
        <v>333</v>
      </c>
      <c r="E96" s="22" t="s">
        <v>97</v>
      </c>
      <c r="F96" s="21"/>
      <c r="G96" s="72" t="s">
        <v>204</v>
      </c>
      <c r="H96" s="21"/>
    </row>
    <row r="97" spans="1:8" x14ac:dyDescent="0.2">
      <c r="A97" s="111" t="s">
        <v>13</v>
      </c>
      <c r="B97" s="109" t="s">
        <v>327</v>
      </c>
      <c r="C97" s="70" t="s">
        <v>306</v>
      </c>
      <c r="D97" s="21" t="s">
        <v>317</v>
      </c>
      <c r="E97" s="22" t="s">
        <v>97</v>
      </c>
      <c r="F97" s="21"/>
      <c r="G97" s="72" t="s">
        <v>204</v>
      </c>
      <c r="H97" s="21"/>
    </row>
    <row r="98" spans="1:8" x14ac:dyDescent="0.2">
      <c r="A98" s="111" t="s">
        <v>13</v>
      </c>
      <c r="B98" s="109" t="s">
        <v>327</v>
      </c>
      <c r="C98" s="70" t="s">
        <v>334</v>
      </c>
      <c r="D98" s="21" t="s">
        <v>241</v>
      </c>
      <c r="E98" s="22" t="s">
        <v>97</v>
      </c>
      <c r="F98" s="21"/>
      <c r="G98" s="72" t="s">
        <v>204</v>
      </c>
      <c r="H98" s="21"/>
    </row>
    <row r="99" spans="1:8" x14ac:dyDescent="0.2">
      <c r="A99" s="111" t="s">
        <v>13</v>
      </c>
      <c r="B99" s="109" t="s">
        <v>327</v>
      </c>
      <c r="C99" s="70" t="s">
        <v>335</v>
      </c>
      <c r="D99" s="21" t="s">
        <v>336</v>
      </c>
      <c r="E99" s="22" t="s">
        <v>97</v>
      </c>
      <c r="F99" s="21"/>
      <c r="G99" s="72" t="s">
        <v>204</v>
      </c>
      <c r="H99" s="21"/>
    </row>
    <row r="100" spans="1:8" x14ac:dyDescent="0.2">
      <c r="A100" s="111" t="s">
        <v>172</v>
      </c>
      <c r="B100" s="109" t="s">
        <v>327</v>
      </c>
      <c r="C100" s="70" t="s">
        <v>337</v>
      </c>
      <c r="D100" s="21" t="s">
        <v>338</v>
      </c>
      <c r="E100" s="22" t="s">
        <v>97</v>
      </c>
      <c r="F100" s="21"/>
      <c r="G100" s="72" t="s">
        <v>204</v>
      </c>
      <c r="H100" s="21"/>
    </row>
    <row r="101" spans="1:8" x14ac:dyDescent="0.2">
      <c r="A101" s="111" t="s">
        <v>13</v>
      </c>
      <c r="B101" s="109" t="s">
        <v>327</v>
      </c>
      <c r="C101" s="70" t="s">
        <v>339</v>
      </c>
      <c r="D101" s="21" t="s">
        <v>340</v>
      </c>
      <c r="E101" s="22" t="s">
        <v>97</v>
      </c>
      <c r="F101" s="21"/>
      <c r="G101" s="72" t="s">
        <v>204</v>
      </c>
      <c r="H101" s="21"/>
    </row>
    <row r="102" spans="1:8" x14ac:dyDescent="0.2">
      <c r="A102" s="111" t="s">
        <v>11</v>
      </c>
      <c r="B102" s="109" t="s">
        <v>341</v>
      </c>
      <c r="C102" s="70" t="s">
        <v>342</v>
      </c>
      <c r="D102" s="21" t="s">
        <v>343</v>
      </c>
      <c r="E102" s="22" t="s">
        <v>97</v>
      </c>
      <c r="F102" s="21"/>
      <c r="G102" s="72" t="s">
        <v>204</v>
      </c>
      <c r="H102" s="21"/>
    </row>
    <row r="103" spans="1:8" x14ac:dyDescent="0.2">
      <c r="A103" s="111" t="s">
        <v>13</v>
      </c>
      <c r="B103" s="109" t="s">
        <v>327</v>
      </c>
      <c r="C103" s="70" t="s">
        <v>332</v>
      </c>
      <c r="D103" s="21" t="s">
        <v>333</v>
      </c>
      <c r="E103" s="22" t="s">
        <v>97</v>
      </c>
      <c r="F103" s="21"/>
      <c r="G103" s="72" t="s">
        <v>204</v>
      </c>
      <c r="H103" s="21"/>
    </row>
    <row r="104" spans="1:8" x14ac:dyDescent="0.2">
      <c r="A104" s="111" t="s">
        <v>13</v>
      </c>
      <c r="B104" s="109" t="s">
        <v>327</v>
      </c>
      <c r="C104" s="70" t="s">
        <v>306</v>
      </c>
      <c r="D104" s="21" t="s">
        <v>317</v>
      </c>
      <c r="E104" s="22" t="s">
        <v>97</v>
      </c>
      <c r="F104" s="21"/>
      <c r="G104" s="72" t="s">
        <v>204</v>
      </c>
      <c r="H104" s="21"/>
    </row>
    <row r="105" spans="1:8" x14ac:dyDescent="0.2">
      <c r="A105" s="111" t="s">
        <v>172</v>
      </c>
      <c r="B105" s="109" t="s">
        <v>327</v>
      </c>
      <c r="C105" s="70" t="s">
        <v>344</v>
      </c>
      <c r="D105" s="21" t="s">
        <v>345</v>
      </c>
      <c r="E105" s="22" t="s">
        <v>88</v>
      </c>
      <c r="F105" s="21"/>
      <c r="G105" s="72" t="s">
        <v>204</v>
      </c>
      <c r="H105" s="21"/>
    </row>
    <row r="106" spans="1:8" x14ac:dyDescent="0.2">
      <c r="A106" s="108" t="s">
        <v>11</v>
      </c>
      <c r="B106" s="112" t="s">
        <v>323</v>
      </c>
      <c r="C106" s="38" t="s">
        <v>266</v>
      </c>
      <c r="D106" s="21" t="s">
        <v>267</v>
      </c>
      <c r="E106" s="22" t="s">
        <v>97</v>
      </c>
      <c r="F106" s="21"/>
      <c r="G106" s="72" t="s">
        <v>204</v>
      </c>
      <c r="H106" s="21"/>
    </row>
    <row r="107" spans="1:8" x14ac:dyDescent="0.2">
      <c r="A107" s="108" t="s">
        <v>11</v>
      </c>
      <c r="B107" s="109" t="s">
        <v>327</v>
      </c>
      <c r="C107" s="38" t="s">
        <v>365</v>
      </c>
      <c r="D107" s="21" t="s">
        <v>366</v>
      </c>
      <c r="E107" s="22" t="s">
        <v>88</v>
      </c>
      <c r="F107" s="21"/>
      <c r="G107" s="72" t="s">
        <v>204</v>
      </c>
      <c r="H107" s="21"/>
    </row>
    <row r="108" spans="1:8" x14ac:dyDescent="0.2">
      <c r="A108" s="108" t="s">
        <v>11</v>
      </c>
      <c r="B108" s="112" t="s">
        <v>324</v>
      </c>
      <c r="C108" s="38" t="s">
        <v>269</v>
      </c>
      <c r="D108" s="21" t="s">
        <v>268</v>
      </c>
      <c r="E108" s="22" t="s">
        <v>97</v>
      </c>
      <c r="F108" s="21"/>
      <c r="G108" s="72" t="s">
        <v>204</v>
      </c>
      <c r="H108" s="21"/>
    </row>
    <row r="109" spans="1:8" x14ac:dyDescent="0.2">
      <c r="A109" s="69"/>
      <c r="B109" s="69" t="s">
        <v>356</v>
      </c>
      <c r="C109" s="69"/>
      <c r="D109" s="69"/>
      <c r="E109" s="69"/>
      <c r="F109" s="69"/>
      <c r="G109" s="69"/>
      <c r="H109" s="69"/>
    </row>
    <row r="110" spans="1:8" x14ac:dyDescent="0.2">
      <c r="A110" s="21" t="s">
        <v>205</v>
      </c>
      <c r="B110" s="109" t="s">
        <v>358</v>
      </c>
      <c r="C110" s="70" t="s">
        <v>274</v>
      </c>
      <c r="D110" s="35" t="s">
        <v>273</v>
      </c>
      <c r="E110" s="22" t="s">
        <v>97</v>
      </c>
      <c r="F110" s="110"/>
      <c r="G110" s="72" t="s">
        <v>204</v>
      </c>
    </row>
    <row r="111" spans="1:8" x14ac:dyDescent="0.2">
      <c r="A111" s="108" t="s">
        <v>13</v>
      </c>
      <c r="B111" s="109" t="s">
        <v>358</v>
      </c>
      <c r="C111" s="70" t="s">
        <v>275</v>
      </c>
      <c r="D111" s="21" t="s">
        <v>276</v>
      </c>
      <c r="E111" s="22" t="s">
        <v>92</v>
      </c>
      <c r="F111" s="21"/>
      <c r="G111" s="72" t="s">
        <v>204</v>
      </c>
      <c r="H111" s="21"/>
    </row>
    <row r="112" spans="1:8" x14ac:dyDescent="0.2">
      <c r="A112" s="108" t="s">
        <v>13</v>
      </c>
      <c r="B112" s="109" t="s">
        <v>358</v>
      </c>
      <c r="C112" s="70" t="s">
        <v>279</v>
      </c>
      <c r="D112" s="21" t="s">
        <v>280</v>
      </c>
      <c r="E112" s="22" t="s">
        <v>92</v>
      </c>
      <c r="F112" s="21"/>
      <c r="G112" s="72" t="s">
        <v>204</v>
      </c>
      <c r="H112" s="21"/>
    </row>
    <row r="113" spans="1:8" x14ac:dyDescent="0.2">
      <c r="A113" s="108" t="s">
        <v>13</v>
      </c>
      <c r="B113" s="109" t="s">
        <v>358</v>
      </c>
      <c r="C113" s="70" t="s">
        <v>282</v>
      </c>
      <c r="D113" s="21" t="s">
        <v>283</v>
      </c>
      <c r="E113" s="22" t="s">
        <v>92</v>
      </c>
      <c r="F113" s="21"/>
      <c r="G113" s="72" t="s">
        <v>204</v>
      </c>
      <c r="H113" s="21"/>
    </row>
    <row r="114" spans="1:8" x14ac:dyDescent="0.2">
      <c r="A114" s="108" t="s">
        <v>13</v>
      </c>
      <c r="B114" s="109" t="s">
        <v>358</v>
      </c>
      <c r="C114" s="70" t="s">
        <v>281</v>
      </c>
      <c r="D114" s="21" t="s">
        <v>284</v>
      </c>
      <c r="E114" s="22" t="s">
        <v>92</v>
      </c>
      <c r="F114" s="21"/>
      <c r="G114" s="72" t="s">
        <v>204</v>
      </c>
      <c r="H114" s="21"/>
    </row>
    <row r="115" spans="1:8" x14ac:dyDescent="0.2">
      <c r="A115" s="108" t="s">
        <v>13</v>
      </c>
      <c r="B115" s="109" t="s">
        <v>358</v>
      </c>
      <c r="C115" s="70" t="s">
        <v>285</v>
      </c>
      <c r="D115" s="21" t="s">
        <v>286</v>
      </c>
      <c r="E115" s="22" t="s">
        <v>92</v>
      </c>
      <c r="F115" s="21"/>
      <c r="G115" s="72" t="s">
        <v>204</v>
      </c>
      <c r="H115" s="21"/>
    </row>
    <row r="116" spans="1:8" x14ac:dyDescent="0.2">
      <c r="A116" s="108" t="s">
        <v>13</v>
      </c>
      <c r="B116" s="109" t="s">
        <v>358</v>
      </c>
      <c r="C116" s="70" t="s">
        <v>287</v>
      </c>
      <c r="D116" s="21" t="s">
        <v>292</v>
      </c>
      <c r="E116" s="22" t="s">
        <v>92</v>
      </c>
      <c r="F116" s="21"/>
      <c r="G116" s="72" t="s">
        <v>204</v>
      </c>
      <c r="H116" s="21"/>
    </row>
    <row r="117" spans="1:8" x14ac:dyDescent="0.2">
      <c r="A117" s="108" t="s">
        <v>13</v>
      </c>
      <c r="B117" s="109" t="s">
        <v>358</v>
      </c>
      <c r="C117" s="70" t="s">
        <v>288</v>
      </c>
      <c r="D117" s="21" t="s">
        <v>290</v>
      </c>
      <c r="E117" s="22" t="s">
        <v>92</v>
      </c>
      <c r="F117" s="21"/>
      <c r="G117" s="72" t="s">
        <v>204</v>
      </c>
      <c r="H117" s="21"/>
    </row>
    <row r="118" spans="1:8" x14ac:dyDescent="0.2">
      <c r="A118" s="108" t="s">
        <v>13</v>
      </c>
      <c r="B118" s="109" t="s">
        <v>358</v>
      </c>
      <c r="C118" s="70" t="s">
        <v>289</v>
      </c>
      <c r="D118" s="21" t="s">
        <v>291</v>
      </c>
      <c r="E118" s="22" t="s">
        <v>92</v>
      </c>
      <c r="F118" s="21"/>
      <c r="G118" s="72" t="s">
        <v>204</v>
      </c>
      <c r="H118" s="21"/>
    </row>
    <row r="119" spans="1:8" x14ac:dyDescent="0.2">
      <c r="A119" s="108" t="s">
        <v>13</v>
      </c>
      <c r="B119" s="109" t="s">
        <v>358</v>
      </c>
      <c r="C119" s="70" t="s">
        <v>293</v>
      </c>
      <c r="D119" s="21" t="s">
        <v>294</v>
      </c>
      <c r="E119" s="22" t="s">
        <v>92</v>
      </c>
      <c r="F119" s="21"/>
      <c r="G119" s="72" t="s">
        <v>204</v>
      </c>
      <c r="H119" s="21"/>
    </row>
    <row r="120" spans="1:8" x14ac:dyDescent="0.2">
      <c r="A120" s="108" t="s">
        <v>13</v>
      </c>
      <c r="B120" s="109" t="s">
        <v>358</v>
      </c>
      <c r="C120" s="70" t="s">
        <v>350</v>
      </c>
      <c r="D120" s="21" t="s">
        <v>353</v>
      </c>
      <c r="E120" s="22" t="s">
        <v>92</v>
      </c>
      <c r="F120" s="21"/>
      <c r="G120" s="72" t="s">
        <v>204</v>
      </c>
      <c r="H120" s="21"/>
    </row>
    <row r="121" spans="1:8" x14ac:dyDescent="0.2">
      <c r="A121" s="108" t="s">
        <v>13</v>
      </c>
      <c r="B121" s="109" t="s">
        <v>358</v>
      </c>
      <c r="C121" s="70" t="s">
        <v>351</v>
      </c>
      <c r="D121" s="21" t="s">
        <v>352</v>
      </c>
      <c r="E121" s="22" t="s">
        <v>92</v>
      </c>
      <c r="F121" s="21"/>
      <c r="G121" s="72" t="s">
        <v>204</v>
      </c>
      <c r="H121" s="21"/>
    </row>
    <row r="122" spans="1:8" x14ac:dyDescent="0.2">
      <c r="A122" s="108" t="s">
        <v>13</v>
      </c>
      <c r="B122" s="109" t="s">
        <v>358</v>
      </c>
      <c r="C122" s="70" t="s">
        <v>354</v>
      </c>
      <c r="D122" s="21" t="s">
        <v>355</v>
      </c>
      <c r="E122" s="22" t="s">
        <v>92</v>
      </c>
      <c r="F122" s="21"/>
      <c r="G122" s="72" t="s">
        <v>204</v>
      </c>
      <c r="H122" s="21"/>
    </row>
    <row r="123" spans="1:8" x14ac:dyDescent="0.2">
      <c r="A123" s="108" t="s">
        <v>11</v>
      </c>
      <c r="B123" s="109" t="s">
        <v>358</v>
      </c>
      <c r="C123" s="70" t="s">
        <v>297</v>
      </c>
      <c r="D123" s="21" t="s">
        <v>298</v>
      </c>
      <c r="E123" s="22" t="s">
        <v>97</v>
      </c>
      <c r="F123" s="21"/>
      <c r="G123" s="72" t="s">
        <v>204</v>
      </c>
      <c r="H123" s="21"/>
    </row>
    <row r="124" spans="1:8" x14ac:dyDescent="0.2">
      <c r="A124" s="108" t="s">
        <v>13</v>
      </c>
      <c r="B124" s="109" t="s">
        <v>358</v>
      </c>
      <c r="C124" s="70" t="s">
        <v>299</v>
      </c>
      <c r="D124" s="21" t="s">
        <v>300</v>
      </c>
      <c r="E124" s="22" t="s">
        <v>92</v>
      </c>
      <c r="F124" s="21"/>
      <c r="G124" s="72" t="s">
        <v>204</v>
      </c>
      <c r="H124" s="21"/>
    </row>
  </sheetData>
  <mergeCells count="36">
    <mergeCell ref="A1:B8"/>
    <mergeCell ref="C1:C8"/>
    <mergeCell ref="E1:H1"/>
    <mergeCell ref="E2:H2"/>
    <mergeCell ref="E3:H3"/>
    <mergeCell ref="E4:H4"/>
    <mergeCell ref="E5:H5"/>
    <mergeCell ref="E6:H6"/>
    <mergeCell ref="E7:H7"/>
    <mergeCell ref="E8:H8"/>
    <mergeCell ref="A9:B20"/>
    <mergeCell ref="C9:C20"/>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E19:F19"/>
    <mergeCell ref="G19:H19"/>
    <mergeCell ref="E20:F20"/>
    <mergeCell ref="G20:H20"/>
    <mergeCell ref="E16:F16"/>
    <mergeCell ref="G16:H16"/>
    <mergeCell ref="E17:F17"/>
    <mergeCell ref="G17:H17"/>
    <mergeCell ref="E18:F18"/>
    <mergeCell ref="G18:H18"/>
  </mergeCells>
  <conditionalFormatting sqref="D10:D19 E22:E27 E29:E55">
    <cfRule type="cellIs" dxfId="271" priority="491" operator="equal">
      <formula>"Minor"</formula>
    </cfRule>
    <cfRule type="cellIs" dxfId="270" priority="492" operator="equal">
      <formula>"Not implemented"</formula>
    </cfRule>
    <cfRule type="cellIs" dxfId="269" priority="493" operator="equal">
      <formula>"Not tested"</formula>
    </cfRule>
    <cfRule type="cellIs" dxfId="268" priority="494" operator="equal">
      <formula>"Not available"</formula>
    </cfRule>
    <cfRule type="cellIs" dxfId="267" priority="495" operator="equal">
      <formula>"Critical"</formula>
    </cfRule>
    <cfRule type="cellIs" dxfId="266" priority="496" operator="equal">
      <formula>"Major"</formula>
    </cfRule>
    <cfRule type="cellIs" dxfId="265" priority="497" operator="equal">
      <formula>"Average"</formula>
    </cfRule>
    <cfRule type="cellIs" dxfId="264" priority="498" operator="equal">
      <formula>"OK"</formula>
    </cfRule>
    <cfRule type="cellIs" dxfId="263" priority="499" operator="equal">
      <formula>"Enhancement"</formula>
    </cfRule>
    <cfRule type="cellIs" dxfId="262" priority="500" operator="equal">
      <formula>"Partially tested"</formula>
    </cfRule>
  </conditionalFormatting>
  <conditionalFormatting sqref="D2:H9 E10:H19 D20:H21 F22:H22 D22:D23 G29:G55 D56:H56 G92:G108 G23:G27">
    <cfRule type="cellIs" dxfId="261" priority="486" operator="equal">
      <formula>"not available"</formula>
    </cfRule>
    <cfRule type="cellIs" dxfId="260" priority="487" operator="equal">
      <formula>"not tested"</formula>
    </cfRule>
    <cfRule type="cellIs" dxfId="259" priority="488" operator="equal">
      <formula>"not implemented"</formula>
    </cfRule>
    <cfRule type="cellIs" dxfId="258" priority="489" operator="equal">
      <formula>"failed"</formula>
    </cfRule>
    <cfRule type="cellIs" dxfId="257" priority="490" operator="equal">
      <formula>"passed"</formula>
    </cfRule>
  </conditionalFormatting>
  <conditionalFormatting sqref="D28:H28">
    <cfRule type="cellIs" dxfId="256" priority="191" operator="equal">
      <formula>"not available"</formula>
    </cfRule>
    <cfRule type="cellIs" dxfId="255" priority="192" operator="equal">
      <formula>"not tested"</formula>
    </cfRule>
    <cfRule type="cellIs" dxfId="254" priority="193" operator="equal">
      <formula>"not implemented"</formula>
    </cfRule>
    <cfRule type="cellIs" dxfId="253" priority="194" operator="equal">
      <formula>"failed"</formula>
    </cfRule>
    <cfRule type="cellIs" dxfId="252" priority="195" operator="equal">
      <formula>"passed"</formula>
    </cfRule>
  </conditionalFormatting>
  <conditionalFormatting sqref="D71:H71">
    <cfRule type="cellIs" dxfId="251" priority="391" operator="equal">
      <formula>"not available"</formula>
    </cfRule>
    <cfRule type="cellIs" dxfId="250" priority="392" operator="equal">
      <formula>"not tested"</formula>
    </cfRule>
    <cfRule type="cellIs" dxfId="249" priority="393" operator="equal">
      <formula>"not implemented"</formula>
    </cfRule>
    <cfRule type="cellIs" dxfId="248" priority="394" operator="equal">
      <formula>"failed"</formula>
    </cfRule>
    <cfRule type="cellIs" dxfId="247" priority="395" operator="equal">
      <formula>"passed"</formula>
    </cfRule>
  </conditionalFormatting>
  <conditionalFormatting sqref="D91:H91">
    <cfRule type="cellIs" dxfId="246" priority="481" operator="equal">
      <formula>"not available"</formula>
    </cfRule>
    <cfRule type="cellIs" dxfId="245" priority="482" operator="equal">
      <formula>"not tested"</formula>
    </cfRule>
    <cfRule type="cellIs" dxfId="244" priority="483" operator="equal">
      <formula>"not implemented"</formula>
    </cfRule>
    <cfRule type="cellIs" dxfId="243" priority="484" operator="equal">
      <formula>"failed"</formula>
    </cfRule>
    <cfRule type="cellIs" dxfId="242" priority="485" operator="equal">
      <formula>"passed"</formula>
    </cfRule>
  </conditionalFormatting>
  <conditionalFormatting sqref="D109:H109">
    <cfRule type="cellIs" dxfId="241" priority="456" operator="equal">
      <formula>"not available"</formula>
    </cfRule>
    <cfRule type="cellIs" dxfId="240" priority="457" operator="equal">
      <formula>"not tested"</formula>
    </cfRule>
    <cfRule type="cellIs" dxfId="239" priority="458" operator="equal">
      <formula>"not implemented"</formula>
    </cfRule>
    <cfRule type="cellIs" dxfId="238" priority="459" operator="equal">
      <formula>"failed"</formula>
    </cfRule>
    <cfRule type="cellIs" dxfId="237" priority="460" operator="equal">
      <formula>"passed"</formula>
    </cfRule>
  </conditionalFormatting>
  <conditionalFormatting sqref="E58:E66 E70">
    <cfRule type="cellIs" dxfId="236" priority="471" operator="equal">
      <formula>"Minor"</formula>
    </cfRule>
    <cfRule type="cellIs" dxfId="235" priority="472" operator="equal">
      <formula>"Not implemented"</formula>
    </cfRule>
    <cfRule type="cellIs" dxfId="234" priority="473" operator="equal">
      <formula>"Not tested"</formula>
    </cfRule>
    <cfRule type="cellIs" dxfId="233" priority="474" operator="equal">
      <formula>"Not available"</formula>
    </cfRule>
    <cfRule type="cellIs" dxfId="232" priority="475" operator="equal">
      <formula>"Critical"</formula>
    </cfRule>
    <cfRule type="cellIs" dxfId="231" priority="476" operator="equal">
      <formula>"Major"</formula>
    </cfRule>
    <cfRule type="cellIs" dxfId="230" priority="477" operator="equal">
      <formula>"Average"</formula>
    </cfRule>
    <cfRule type="cellIs" dxfId="229" priority="478" operator="equal">
      <formula>"OK"</formula>
    </cfRule>
    <cfRule type="cellIs" dxfId="228" priority="479" operator="equal">
      <formula>"Enhancement"</formula>
    </cfRule>
    <cfRule type="cellIs" dxfId="227" priority="480" operator="equal">
      <formula>"Partially tested"</formula>
    </cfRule>
  </conditionalFormatting>
  <conditionalFormatting sqref="E72:E90">
    <cfRule type="cellIs" dxfId="226" priority="351" operator="equal">
      <formula>"Minor"</formula>
    </cfRule>
    <cfRule type="cellIs" dxfId="225" priority="352" operator="equal">
      <formula>"Not implemented"</formula>
    </cfRule>
    <cfRule type="cellIs" dxfId="224" priority="353" operator="equal">
      <formula>"Not tested"</formula>
    </cfRule>
    <cfRule type="cellIs" dxfId="223" priority="354" operator="equal">
      <formula>"Not available"</formula>
    </cfRule>
    <cfRule type="cellIs" dxfId="222" priority="355" operator="equal">
      <formula>"Critical"</formula>
    </cfRule>
    <cfRule type="cellIs" dxfId="221" priority="356" operator="equal">
      <formula>"Major"</formula>
    </cfRule>
    <cfRule type="cellIs" dxfId="220" priority="357" operator="equal">
      <formula>"Average"</formula>
    </cfRule>
    <cfRule type="cellIs" dxfId="219" priority="358" operator="equal">
      <formula>"OK"</formula>
    </cfRule>
    <cfRule type="cellIs" dxfId="218" priority="359" operator="equal">
      <formula>"Enhancement"</formula>
    </cfRule>
    <cfRule type="cellIs" dxfId="217" priority="360" operator="equal">
      <formula>"Partially tested"</formula>
    </cfRule>
  </conditionalFormatting>
  <conditionalFormatting sqref="E93:E94 E105 E108">
    <cfRule type="cellIs" dxfId="216" priority="281" operator="equal">
      <formula>"Minor"</formula>
    </cfRule>
    <cfRule type="cellIs" dxfId="215" priority="282" operator="equal">
      <formula>"Not implemented"</formula>
    </cfRule>
    <cfRule type="cellIs" dxfId="214" priority="283" operator="equal">
      <formula>"Not tested"</formula>
    </cfRule>
    <cfRule type="cellIs" dxfId="213" priority="284" operator="equal">
      <formula>"Not available"</formula>
    </cfRule>
    <cfRule type="cellIs" dxfId="212" priority="285" operator="equal">
      <formula>"Critical"</formula>
    </cfRule>
    <cfRule type="cellIs" dxfId="211" priority="286" operator="equal">
      <formula>"Major"</formula>
    </cfRule>
    <cfRule type="cellIs" dxfId="210" priority="287" operator="equal">
      <formula>"Average"</formula>
    </cfRule>
    <cfRule type="cellIs" dxfId="209" priority="288" operator="equal">
      <formula>"OK"</formula>
    </cfRule>
    <cfRule type="cellIs" dxfId="208" priority="289" operator="equal">
      <formula>"Enhancement"</formula>
    </cfRule>
    <cfRule type="cellIs" dxfId="207" priority="290" operator="equal">
      <formula>"Partially tested"</formula>
    </cfRule>
  </conditionalFormatting>
  <conditionalFormatting sqref="E111:E122 E124">
    <cfRule type="cellIs" dxfId="206" priority="251" operator="equal">
      <formula>"Minor"</formula>
    </cfRule>
    <cfRule type="cellIs" dxfId="205" priority="252" operator="equal">
      <formula>"Not implemented"</formula>
    </cfRule>
    <cfRule type="cellIs" dxfId="204" priority="253" operator="equal">
      <formula>"Not tested"</formula>
    </cfRule>
    <cfRule type="cellIs" dxfId="203" priority="254" operator="equal">
      <formula>"Not available"</formula>
    </cfRule>
    <cfRule type="cellIs" dxfId="202" priority="255" operator="equal">
      <formula>"Critical"</formula>
    </cfRule>
    <cfRule type="cellIs" dxfId="201" priority="256" operator="equal">
      <formula>"Major"</formula>
    </cfRule>
    <cfRule type="cellIs" dxfId="200" priority="257" operator="equal">
      <formula>"Average"</formula>
    </cfRule>
    <cfRule type="cellIs" dxfId="199" priority="258" operator="equal">
      <formula>"OK"</formula>
    </cfRule>
    <cfRule type="cellIs" dxfId="198" priority="259" operator="equal">
      <formula>"Enhancement"</formula>
    </cfRule>
    <cfRule type="cellIs" dxfId="197" priority="260" operator="equal">
      <formula>"Partially tested"</formula>
    </cfRule>
  </conditionalFormatting>
  <conditionalFormatting sqref="G57:G70 G72:G90">
    <cfRule type="cellIs" dxfId="196" priority="426" operator="equal">
      <formula>"not available"</formula>
    </cfRule>
    <cfRule type="cellIs" dxfId="195" priority="427" operator="equal">
      <formula>"not tested"</formula>
    </cfRule>
    <cfRule type="cellIs" dxfId="194" priority="428" operator="equal">
      <formula>"not implemented"</formula>
    </cfRule>
    <cfRule type="cellIs" dxfId="193" priority="429" operator="equal">
      <formula>"failed"</formula>
    </cfRule>
    <cfRule type="cellIs" dxfId="192" priority="430" operator="equal">
      <formula>"passed"</formula>
    </cfRule>
  </conditionalFormatting>
  <conditionalFormatting sqref="G110:G124">
    <cfRule type="cellIs" dxfId="191" priority="246" operator="equal">
      <formula>"not available"</formula>
    </cfRule>
    <cfRule type="cellIs" dxfId="190" priority="247" operator="equal">
      <formula>"not tested"</formula>
    </cfRule>
    <cfRule type="cellIs" dxfId="189" priority="248" operator="equal">
      <formula>"not implemented"</formula>
    </cfRule>
    <cfRule type="cellIs" dxfId="188" priority="249" operator="equal">
      <formula>"failed"</formula>
    </cfRule>
    <cfRule type="cellIs" dxfId="187" priority="250" operator="equal">
      <formula>"passed"</formula>
    </cfRule>
  </conditionalFormatting>
  <conditionalFormatting sqref="E57">
    <cfRule type="cellIs" dxfId="186" priority="181" operator="equal">
      <formula>"Minor"</formula>
    </cfRule>
    <cfRule type="cellIs" dxfId="185" priority="182" operator="equal">
      <formula>"Not implemented"</formula>
    </cfRule>
    <cfRule type="cellIs" dxfId="184" priority="183" operator="equal">
      <formula>"Not tested"</formula>
    </cfRule>
    <cfRule type="cellIs" dxfId="183" priority="184" operator="equal">
      <formula>"Not available"</formula>
    </cfRule>
    <cfRule type="cellIs" dxfId="182" priority="185" operator="equal">
      <formula>"Critical"</formula>
    </cfRule>
    <cfRule type="cellIs" dxfId="181" priority="186" operator="equal">
      <formula>"Major"</formula>
    </cfRule>
    <cfRule type="cellIs" dxfId="180" priority="187" operator="equal">
      <formula>"Average"</formula>
    </cfRule>
    <cfRule type="cellIs" dxfId="179" priority="188" operator="equal">
      <formula>"OK"</formula>
    </cfRule>
    <cfRule type="cellIs" dxfId="178" priority="189" operator="equal">
      <formula>"Enhancement"</formula>
    </cfRule>
    <cfRule type="cellIs" dxfId="177" priority="190" operator="equal">
      <formula>"Partially tested"</formula>
    </cfRule>
  </conditionalFormatting>
  <conditionalFormatting sqref="E67">
    <cfRule type="cellIs" dxfId="176" priority="171" operator="equal">
      <formula>"Minor"</formula>
    </cfRule>
    <cfRule type="cellIs" dxfId="175" priority="172" operator="equal">
      <formula>"Not implemented"</formula>
    </cfRule>
    <cfRule type="cellIs" dxfId="174" priority="173" operator="equal">
      <formula>"Not tested"</formula>
    </cfRule>
    <cfRule type="cellIs" dxfId="173" priority="174" operator="equal">
      <formula>"Not available"</formula>
    </cfRule>
    <cfRule type="cellIs" dxfId="172" priority="175" operator="equal">
      <formula>"Critical"</formula>
    </cfRule>
    <cfRule type="cellIs" dxfId="171" priority="176" operator="equal">
      <formula>"Major"</formula>
    </cfRule>
    <cfRule type="cellIs" dxfId="170" priority="177" operator="equal">
      <formula>"Average"</formula>
    </cfRule>
    <cfRule type="cellIs" dxfId="169" priority="178" operator="equal">
      <formula>"OK"</formula>
    </cfRule>
    <cfRule type="cellIs" dxfId="168" priority="179" operator="equal">
      <formula>"Enhancement"</formula>
    </cfRule>
    <cfRule type="cellIs" dxfId="167" priority="180" operator="equal">
      <formula>"Partially tested"</formula>
    </cfRule>
  </conditionalFormatting>
  <conditionalFormatting sqref="E68">
    <cfRule type="cellIs" dxfId="166" priority="161" operator="equal">
      <formula>"Minor"</formula>
    </cfRule>
    <cfRule type="cellIs" dxfId="165" priority="162" operator="equal">
      <formula>"Not implemented"</formula>
    </cfRule>
    <cfRule type="cellIs" dxfId="164" priority="163" operator="equal">
      <formula>"Not tested"</formula>
    </cfRule>
    <cfRule type="cellIs" dxfId="163" priority="164" operator="equal">
      <formula>"Not available"</formula>
    </cfRule>
    <cfRule type="cellIs" dxfId="162" priority="165" operator="equal">
      <formula>"Critical"</formula>
    </cfRule>
    <cfRule type="cellIs" dxfId="161" priority="166" operator="equal">
      <formula>"Major"</formula>
    </cfRule>
    <cfRule type="cellIs" dxfId="160" priority="167" operator="equal">
      <formula>"Average"</formula>
    </cfRule>
    <cfRule type="cellIs" dxfId="159" priority="168" operator="equal">
      <formula>"OK"</formula>
    </cfRule>
    <cfRule type="cellIs" dxfId="158" priority="169" operator="equal">
      <formula>"Enhancement"</formula>
    </cfRule>
    <cfRule type="cellIs" dxfId="157" priority="170" operator="equal">
      <formula>"Partially tested"</formula>
    </cfRule>
  </conditionalFormatting>
  <conditionalFormatting sqref="E69">
    <cfRule type="cellIs" dxfId="156" priority="151" operator="equal">
      <formula>"Minor"</formula>
    </cfRule>
    <cfRule type="cellIs" dxfId="155" priority="152" operator="equal">
      <formula>"Not implemented"</formula>
    </cfRule>
    <cfRule type="cellIs" dxfId="154" priority="153" operator="equal">
      <formula>"Not tested"</formula>
    </cfRule>
    <cfRule type="cellIs" dxfId="153" priority="154" operator="equal">
      <formula>"Not available"</formula>
    </cfRule>
    <cfRule type="cellIs" dxfId="152" priority="155" operator="equal">
      <formula>"Critical"</formula>
    </cfRule>
    <cfRule type="cellIs" dxfId="151" priority="156" operator="equal">
      <formula>"Major"</formula>
    </cfRule>
    <cfRule type="cellIs" dxfId="150" priority="157" operator="equal">
      <formula>"Average"</formula>
    </cfRule>
    <cfRule type="cellIs" dxfId="149" priority="158" operator="equal">
      <formula>"OK"</formula>
    </cfRule>
    <cfRule type="cellIs" dxfId="148" priority="159" operator="equal">
      <formula>"Enhancement"</formula>
    </cfRule>
    <cfRule type="cellIs" dxfId="147" priority="160" operator="equal">
      <formula>"Partially tested"</formula>
    </cfRule>
  </conditionalFormatting>
  <conditionalFormatting sqref="E92">
    <cfRule type="cellIs" dxfId="146" priority="131" operator="equal">
      <formula>"Minor"</formula>
    </cfRule>
    <cfRule type="cellIs" dxfId="145" priority="132" operator="equal">
      <formula>"Not implemented"</formula>
    </cfRule>
    <cfRule type="cellIs" dxfId="144" priority="133" operator="equal">
      <formula>"Not tested"</formula>
    </cfRule>
    <cfRule type="cellIs" dxfId="143" priority="134" operator="equal">
      <formula>"Not available"</formula>
    </cfRule>
    <cfRule type="cellIs" dxfId="142" priority="135" operator="equal">
      <formula>"Critical"</formula>
    </cfRule>
    <cfRule type="cellIs" dxfId="141" priority="136" operator="equal">
      <formula>"Major"</formula>
    </cfRule>
    <cfRule type="cellIs" dxfId="140" priority="137" operator="equal">
      <formula>"Average"</formula>
    </cfRule>
    <cfRule type="cellIs" dxfId="139" priority="138" operator="equal">
      <formula>"OK"</formula>
    </cfRule>
    <cfRule type="cellIs" dxfId="138" priority="139" operator="equal">
      <formula>"Enhancement"</formula>
    </cfRule>
    <cfRule type="cellIs" dxfId="137" priority="140" operator="equal">
      <formula>"Partially tested"</formula>
    </cfRule>
  </conditionalFormatting>
  <conditionalFormatting sqref="E95">
    <cfRule type="cellIs" dxfId="136" priority="121" operator="equal">
      <formula>"Minor"</formula>
    </cfRule>
    <cfRule type="cellIs" dxfId="135" priority="122" operator="equal">
      <formula>"Not implemented"</formula>
    </cfRule>
    <cfRule type="cellIs" dxfId="134" priority="123" operator="equal">
      <formula>"Not tested"</formula>
    </cfRule>
    <cfRule type="cellIs" dxfId="133" priority="124" operator="equal">
      <formula>"Not available"</formula>
    </cfRule>
    <cfRule type="cellIs" dxfId="132" priority="125" operator="equal">
      <formula>"Critical"</formula>
    </cfRule>
    <cfRule type="cellIs" dxfId="131" priority="126" operator="equal">
      <formula>"Major"</formula>
    </cfRule>
    <cfRule type="cellIs" dxfId="130" priority="127" operator="equal">
      <formula>"Average"</formula>
    </cfRule>
    <cfRule type="cellIs" dxfId="129" priority="128" operator="equal">
      <formula>"OK"</formula>
    </cfRule>
    <cfRule type="cellIs" dxfId="128" priority="129" operator="equal">
      <formula>"Enhancement"</formula>
    </cfRule>
    <cfRule type="cellIs" dxfId="127" priority="130" operator="equal">
      <formula>"Partially tested"</formula>
    </cfRule>
  </conditionalFormatting>
  <conditionalFormatting sqref="E96">
    <cfRule type="cellIs" dxfId="126" priority="111" operator="equal">
      <formula>"Minor"</formula>
    </cfRule>
    <cfRule type="cellIs" dxfId="125" priority="112" operator="equal">
      <formula>"Not implemented"</formula>
    </cfRule>
    <cfRule type="cellIs" dxfId="124" priority="113" operator="equal">
      <formula>"Not tested"</formula>
    </cfRule>
    <cfRule type="cellIs" dxfId="123" priority="114" operator="equal">
      <formula>"Not available"</formula>
    </cfRule>
    <cfRule type="cellIs" dxfId="122" priority="115" operator="equal">
      <formula>"Critical"</formula>
    </cfRule>
    <cfRule type="cellIs" dxfId="121" priority="116" operator="equal">
      <formula>"Major"</formula>
    </cfRule>
    <cfRule type="cellIs" dxfId="120" priority="117" operator="equal">
      <formula>"Average"</formula>
    </cfRule>
    <cfRule type="cellIs" dxfId="119" priority="118" operator="equal">
      <formula>"OK"</formula>
    </cfRule>
    <cfRule type="cellIs" dxfId="118" priority="119" operator="equal">
      <formula>"Enhancement"</formula>
    </cfRule>
    <cfRule type="cellIs" dxfId="117" priority="120" operator="equal">
      <formula>"Partially tested"</formula>
    </cfRule>
  </conditionalFormatting>
  <conditionalFormatting sqref="E97">
    <cfRule type="cellIs" dxfId="116" priority="101" operator="equal">
      <formula>"Minor"</formula>
    </cfRule>
    <cfRule type="cellIs" dxfId="115" priority="102" operator="equal">
      <formula>"Not implemented"</formula>
    </cfRule>
    <cfRule type="cellIs" dxfId="114" priority="103" operator="equal">
      <formula>"Not tested"</formula>
    </cfRule>
    <cfRule type="cellIs" dxfId="113" priority="104" operator="equal">
      <formula>"Not available"</formula>
    </cfRule>
    <cfRule type="cellIs" dxfId="112" priority="105" operator="equal">
      <formula>"Critical"</formula>
    </cfRule>
    <cfRule type="cellIs" dxfId="111" priority="106" operator="equal">
      <formula>"Major"</formula>
    </cfRule>
    <cfRule type="cellIs" dxfId="110" priority="107" operator="equal">
      <formula>"Average"</formula>
    </cfRule>
    <cfRule type="cellIs" dxfId="109" priority="108" operator="equal">
      <formula>"OK"</formula>
    </cfRule>
    <cfRule type="cellIs" dxfId="108" priority="109" operator="equal">
      <formula>"Enhancement"</formula>
    </cfRule>
    <cfRule type="cellIs" dxfId="107" priority="110" operator="equal">
      <formula>"Partially tested"</formula>
    </cfRule>
  </conditionalFormatting>
  <conditionalFormatting sqref="E98">
    <cfRule type="cellIs" dxfId="106" priority="91" operator="equal">
      <formula>"Minor"</formula>
    </cfRule>
    <cfRule type="cellIs" dxfId="105" priority="92" operator="equal">
      <formula>"Not implemented"</formula>
    </cfRule>
    <cfRule type="cellIs" dxfId="104" priority="93" operator="equal">
      <formula>"Not tested"</formula>
    </cfRule>
    <cfRule type="cellIs" dxfId="103" priority="94" operator="equal">
      <formula>"Not available"</formula>
    </cfRule>
    <cfRule type="cellIs" dxfId="102" priority="95" operator="equal">
      <formula>"Critical"</formula>
    </cfRule>
    <cfRule type="cellIs" dxfId="101" priority="96" operator="equal">
      <formula>"Major"</formula>
    </cfRule>
    <cfRule type="cellIs" dxfId="100" priority="97" operator="equal">
      <formula>"Average"</formula>
    </cfRule>
    <cfRule type="cellIs" dxfId="99" priority="98" operator="equal">
      <formula>"OK"</formula>
    </cfRule>
    <cfRule type="cellIs" dxfId="98" priority="99" operator="equal">
      <formula>"Enhancement"</formula>
    </cfRule>
    <cfRule type="cellIs" dxfId="97" priority="100" operator="equal">
      <formula>"Partially tested"</formula>
    </cfRule>
  </conditionalFormatting>
  <conditionalFormatting sqref="E100">
    <cfRule type="cellIs" dxfId="96" priority="81" operator="equal">
      <formula>"Minor"</formula>
    </cfRule>
    <cfRule type="cellIs" dxfId="95" priority="82" operator="equal">
      <formula>"Not implemented"</formula>
    </cfRule>
    <cfRule type="cellIs" dxfId="94" priority="83" operator="equal">
      <formula>"Not tested"</formula>
    </cfRule>
    <cfRule type="cellIs" dxfId="93" priority="84" operator="equal">
      <formula>"Not available"</formula>
    </cfRule>
    <cfRule type="cellIs" dxfId="92" priority="85" operator="equal">
      <formula>"Critical"</formula>
    </cfRule>
    <cfRule type="cellIs" dxfId="91" priority="86" operator="equal">
      <formula>"Major"</formula>
    </cfRule>
    <cfRule type="cellIs" dxfId="90" priority="87" operator="equal">
      <formula>"Average"</formula>
    </cfRule>
    <cfRule type="cellIs" dxfId="89" priority="88" operator="equal">
      <formula>"OK"</formula>
    </cfRule>
    <cfRule type="cellIs" dxfId="88" priority="89" operator="equal">
      <formula>"Enhancement"</formula>
    </cfRule>
    <cfRule type="cellIs" dxfId="87" priority="90" operator="equal">
      <formula>"Partially tested"</formula>
    </cfRule>
  </conditionalFormatting>
  <conditionalFormatting sqref="E99">
    <cfRule type="cellIs" dxfId="86" priority="71" operator="equal">
      <formula>"Minor"</formula>
    </cfRule>
    <cfRule type="cellIs" dxfId="85" priority="72" operator="equal">
      <formula>"Not implemented"</formula>
    </cfRule>
    <cfRule type="cellIs" dxfId="84" priority="73" operator="equal">
      <formula>"Not tested"</formula>
    </cfRule>
    <cfRule type="cellIs" dxfId="83" priority="74" operator="equal">
      <formula>"Not available"</formula>
    </cfRule>
    <cfRule type="cellIs" dxfId="82" priority="75" operator="equal">
      <formula>"Critical"</formula>
    </cfRule>
    <cfRule type="cellIs" dxfId="81" priority="76" operator="equal">
      <formula>"Major"</formula>
    </cfRule>
    <cfRule type="cellIs" dxfId="80" priority="77" operator="equal">
      <formula>"Average"</formula>
    </cfRule>
    <cfRule type="cellIs" dxfId="79" priority="78" operator="equal">
      <formula>"OK"</formula>
    </cfRule>
    <cfRule type="cellIs" dxfId="78" priority="79" operator="equal">
      <formula>"Enhancement"</formula>
    </cfRule>
    <cfRule type="cellIs" dxfId="77" priority="80" operator="equal">
      <formula>"Partially tested"</formula>
    </cfRule>
  </conditionalFormatting>
  <conditionalFormatting sqref="E101">
    <cfRule type="cellIs" dxfId="76" priority="61" operator="equal">
      <formula>"Minor"</formula>
    </cfRule>
    <cfRule type="cellIs" dxfId="75" priority="62" operator="equal">
      <formula>"Not implemented"</formula>
    </cfRule>
    <cfRule type="cellIs" dxfId="74" priority="63" operator="equal">
      <formula>"Not tested"</formula>
    </cfRule>
    <cfRule type="cellIs" dxfId="73" priority="64" operator="equal">
      <formula>"Not available"</formula>
    </cfRule>
    <cfRule type="cellIs" dxfId="72" priority="65" operator="equal">
      <formula>"Critical"</formula>
    </cfRule>
    <cfRule type="cellIs" dxfId="71" priority="66" operator="equal">
      <formula>"Major"</formula>
    </cfRule>
    <cfRule type="cellIs" dxfId="70" priority="67" operator="equal">
      <formula>"Average"</formula>
    </cfRule>
    <cfRule type="cellIs" dxfId="69" priority="68" operator="equal">
      <formula>"OK"</formula>
    </cfRule>
    <cfRule type="cellIs" dxfId="68" priority="69" operator="equal">
      <formula>"Enhancement"</formula>
    </cfRule>
    <cfRule type="cellIs" dxfId="67" priority="70" operator="equal">
      <formula>"Partially tested"</formula>
    </cfRule>
  </conditionalFormatting>
  <conditionalFormatting sqref="E102">
    <cfRule type="cellIs" dxfId="66" priority="51" operator="equal">
      <formula>"Minor"</formula>
    </cfRule>
    <cfRule type="cellIs" dxfId="65" priority="52" operator="equal">
      <formula>"Not implemented"</formula>
    </cfRule>
    <cfRule type="cellIs" dxfId="64" priority="53" operator="equal">
      <formula>"Not tested"</formula>
    </cfRule>
    <cfRule type="cellIs" dxfId="63" priority="54" operator="equal">
      <formula>"Not available"</formula>
    </cfRule>
    <cfRule type="cellIs" dxfId="62" priority="55" operator="equal">
      <formula>"Critical"</formula>
    </cfRule>
    <cfRule type="cellIs" dxfId="61" priority="56" operator="equal">
      <formula>"Major"</formula>
    </cfRule>
    <cfRule type="cellIs" dxfId="60" priority="57" operator="equal">
      <formula>"Average"</formula>
    </cfRule>
    <cfRule type="cellIs" dxfId="59" priority="58" operator="equal">
      <formula>"OK"</formula>
    </cfRule>
    <cfRule type="cellIs" dxfId="58" priority="59" operator="equal">
      <formula>"Enhancement"</formula>
    </cfRule>
    <cfRule type="cellIs" dxfId="57" priority="60" operator="equal">
      <formula>"Partially tested"</formula>
    </cfRule>
  </conditionalFormatting>
  <conditionalFormatting sqref="E103">
    <cfRule type="cellIs" dxfId="56" priority="41" operator="equal">
      <formula>"Minor"</formula>
    </cfRule>
    <cfRule type="cellIs" dxfId="55" priority="42" operator="equal">
      <formula>"Not implemented"</formula>
    </cfRule>
    <cfRule type="cellIs" dxfId="54" priority="43" operator="equal">
      <formula>"Not tested"</formula>
    </cfRule>
    <cfRule type="cellIs" dxfId="53" priority="44" operator="equal">
      <formula>"Not available"</formula>
    </cfRule>
    <cfRule type="cellIs" dxfId="52" priority="45" operator="equal">
      <formula>"Critical"</formula>
    </cfRule>
    <cfRule type="cellIs" dxfId="51" priority="46" operator="equal">
      <formula>"Major"</formula>
    </cfRule>
    <cfRule type="cellIs" dxfId="50" priority="47" operator="equal">
      <formula>"Average"</formula>
    </cfRule>
    <cfRule type="cellIs" dxfId="49" priority="48" operator="equal">
      <formula>"OK"</formula>
    </cfRule>
    <cfRule type="cellIs" dxfId="48" priority="49" operator="equal">
      <formula>"Enhancement"</formula>
    </cfRule>
    <cfRule type="cellIs" dxfId="47" priority="50" operator="equal">
      <formula>"Partially tested"</formula>
    </cfRule>
  </conditionalFormatting>
  <conditionalFormatting sqref="E104">
    <cfRule type="cellIs" dxfId="46" priority="31" operator="equal">
      <formula>"Minor"</formula>
    </cfRule>
    <cfRule type="cellIs" dxfId="45" priority="32" operator="equal">
      <formula>"Not implemented"</formula>
    </cfRule>
    <cfRule type="cellIs" dxfId="44" priority="33" operator="equal">
      <formula>"Not tested"</formula>
    </cfRule>
    <cfRule type="cellIs" dxfId="43" priority="34" operator="equal">
      <formula>"Not available"</formula>
    </cfRule>
    <cfRule type="cellIs" dxfId="42" priority="35" operator="equal">
      <formula>"Critical"</formula>
    </cfRule>
    <cfRule type="cellIs" dxfId="41" priority="36" operator="equal">
      <formula>"Major"</formula>
    </cfRule>
    <cfRule type="cellIs" dxfId="40" priority="37" operator="equal">
      <formula>"Average"</formula>
    </cfRule>
    <cfRule type="cellIs" dxfId="39" priority="38" operator="equal">
      <formula>"OK"</formula>
    </cfRule>
    <cfRule type="cellIs" dxfId="38" priority="39" operator="equal">
      <formula>"Enhancement"</formula>
    </cfRule>
    <cfRule type="cellIs" dxfId="37" priority="40" operator="equal">
      <formula>"Partially tested"</formula>
    </cfRule>
  </conditionalFormatting>
  <conditionalFormatting sqref="E106:E107">
    <cfRule type="cellIs" dxfId="36" priority="21" operator="equal">
      <formula>"Minor"</formula>
    </cfRule>
    <cfRule type="cellIs" dxfId="35" priority="22" operator="equal">
      <formula>"Not implemented"</formula>
    </cfRule>
    <cfRule type="cellIs" dxfId="34" priority="23" operator="equal">
      <formula>"Not tested"</formula>
    </cfRule>
    <cfRule type="cellIs" dxfId="33" priority="24" operator="equal">
      <formula>"Not available"</formula>
    </cfRule>
    <cfRule type="cellIs" dxfId="32" priority="25" operator="equal">
      <formula>"Critical"</formula>
    </cfRule>
    <cfRule type="cellIs" dxfId="31" priority="26" operator="equal">
      <formula>"Major"</formula>
    </cfRule>
    <cfRule type="cellIs" dxfId="30" priority="27" operator="equal">
      <formula>"Average"</formula>
    </cfRule>
    <cfRule type="cellIs" dxfId="29" priority="28" operator="equal">
      <formula>"OK"</formula>
    </cfRule>
    <cfRule type="cellIs" dxfId="28" priority="29" operator="equal">
      <formula>"Enhancement"</formula>
    </cfRule>
    <cfRule type="cellIs" dxfId="27" priority="30" operator="equal">
      <formula>"Partially tested"</formula>
    </cfRule>
  </conditionalFormatting>
  <conditionalFormatting sqref="E110">
    <cfRule type="cellIs" dxfId="26" priority="11" operator="equal">
      <formula>"Minor"</formula>
    </cfRule>
    <cfRule type="cellIs" dxfId="25" priority="12" operator="equal">
      <formula>"Not implemented"</formula>
    </cfRule>
    <cfRule type="cellIs" dxfId="24" priority="13" operator="equal">
      <formula>"Not tested"</formula>
    </cfRule>
    <cfRule type="cellIs" dxfId="23" priority="14" operator="equal">
      <formula>"Not available"</formula>
    </cfRule>
    <cfRule type="cellIs" dxfId="22" priority="15" operator="equal">
      <formula>"Critical"</formula>
    </cfRule>
    <cfRule type="cellIs" dxfId="21" priority="16" operator="equal">
      <formula>"Major"</formula>
    </cfRule>
    <cfRule type="cellIs" dxfId="20" priority="17" operator="equal">
      <formula>"Average"</formula>
    </cfRule>
    <cfRule type="cellIs" dxfId="19" priority="18" operator="equal">
      <formula>"OK"</formula>
    </cfRule>
    <cfRule type="cellIs" dxfId="18" priority="19" operator="equal">
      <formula>"Enhancement"</formula>
    </cfRule>
    <cfRule type="cellIs" dxfId="17" priority="20" operator="equal">
      <formula>"Partially tested"</formula>
    </cfRule>
  </conditionalFormatting>
  <conditionalFormatting sqref="E123">
    <cfRule type="cellIs" dxfId="16" priority="1" operator="equal">
      <formula>"Minor"</formula>
    </cfRule>
    <cfRule type="cellIs" dxfId="15" priority="2" operator="equal">
      <formula>"Not implemented"</formula>
    </cfRule>
    <cfRule type="cellIs" dxfId="14" priority="3" operator="equal">
      <formula>"Not tested"</formula>
    </cfRule>
    <cfRule type="cellIs" dxfId="13" priority="4" operator="equal">
      <formula>"Not available"</formula>
    </cfRule>
    <cfRule type="cellIs" dxfId="12" priority="5" operator="equal">
      <formula>"Critical"</formula>
    </cfRule>
    <cfRule type="cellIs" dxfId="11" priority="6" operator="equal">
      <formula>"Major"</formula>
    </cfRule>
    <cfRule type="cellIs" dxfId="10" priority="7" operator="equal">
      <formula>"Average"</formula>
    </cfRule>
    <cfRule type="cellIs" dxfId="9" priority="8" operator="equal">
      <formula>"OK"</formula>
    </cfRule>
    <cfRule type="cellIs" dxfId="8" priority="9" operator="equal">
      <formula>"Enhancement"</formula>
    </cfRule>
    <cfRule type="cellIs" dxfId="7" priority="10" operator="equal">
      <formula>"Partially tested"</formula>
    </cfRule>
  </conditionalFormatting>
  <dataValidations count="7">
    <dataValidation type="list" allowBlank="1" showInputMessage="1" showErrorMessage="1" sqref="E72:E90 E29:E55 E22:E27 E57:E70 E110:E124 E92:E108" xr:uid="{C849939C-8A35-48DF-B47F-5DCF5006F269}">
      <formula1>$D$11:$D$20</formula1>
      <formula2>0</formula2>
    </dataValidation>
    <dataValidation type="list" allowBlank="1" showInputMessage="1" showErrorMessage="1" sqref="E6:H6" xr:uid="{1FD16DA5-CB22-47A9-8B62-24C74F75CED5}">
      <formula1>Environment_OS</formula1>
      <formula2>0</formula2>
    </dataValidation>
    <dataValidation type="list" allowBlank="1" showInputMessage="1" showErrorMessage="1" sqref="E5:H5" xr:uid="{5AFDD48F-5E48-4E82-B70E-AF84C0F5E727}">
      <formula1>Project_URL</formula1>
      <formula2>0</formula2>
    </dataValidation>
    <dataValidation type="list" allowBlank="1" showInputMessage="1" showErrorMessage="1" sqref="E4:H4" xr:uid="{D84D694A-AC79-4F65-B205-B136DEC95B63}">
      <formula1>Test_Team</formula1>
      <formula2>0</formula2>
    </dataValidation>
    <dataValidation type="list" allowBlank="1" showInputMessage="1" showErrorMessage="1" sqref="A22" xr:uid="{F98B9844-710D-4A01-9E01-266671F78945}">
      <formula1>Test_coverage</formula1>
      <formula2>0</formula2>
    </dataValidation>
    <dataValidation type="list" allowBlank="1" showInputMessage="1" showErrorMessage="1" sqref="E7:H7" xr:uid="{FD72AB43-9622-4957-8D0A-CACC85FDAB52}">
      <formula1>Browser_list</formula1>
      <formula2>0</formula2>
    </dataValidation>
    <dataValidation type="list" allowBlank="1" showInputMessage="1" showErrorMessage="1" sqref="E2:H2" xr:uid="{FAEC1BB6-599B-40F5-9EDA-8B593426AC04}">
      <formula1>Test_types</formula1>
      <formula2>0</formula2>
    </dataValidation>
  </dataValidations>
  <hyperlinks>
    <hyperlink ref="E5" r:id="rId1" display="https://infosystem.demohoster.com/" xr:uid="{5CD02969-00DF-4DE0-A488-DE631DC513C7}"/>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38"/>
  <sheetViews>
    <sheetView zoomScale="130" zoomScaleNormal="130" workbookViewId="0">
      <selection activeCell="B12" sqref="B12"/>
    </sheetView>
  </sheetViews>
  <sheetFormatPr defaultRowHeight="12.75" x14ac:dyDescent="0.2"/>
  <cols>
    <col min="1" max="1" width="16.7109375" style="21" customWidth="1"/>
    <col min="2" max="2" width="19.85546875" style="21" customWidth="1"/>
    <col min="3" max="3" width="15.7109375" style="21" customWidth="1"/>
    <col min="4" max="5" width="20.7109375" style="21" customWidth="1"/>
    <col min="6" max="6" width="15.7109375" style="21" customWidth="1"/>
    <col min="7" max="7" width="9.140625" style="21" customWidth="1"/>
    <col min="8" max="8" width="19.140625" style="21" customWidth="1"/>
    <col min="9" max="9" width="10.140625" style="21" customWidth="1"/>
    <col min="10" max="10" width="20.85546875" style="21" customWidth="1"/>
    <col min="11" max="11" width="27" style="21" customWidth="1"/>
    <col min="12" max="1025" width="9.140625" style="21" customWidth="1"/>
  </cols>
  <sheetData>
    <row r="1" spans="1:11" s="4" customFormat="1" ht="48.95" customHeight="1" x14ac:dyDescent="0.2">
      <c r="A1" s="2" t="s">
        <v>0</v>
      </c>
      <c r="B1" s="3"/>
      <c r="C1" s="3"/>
      <c r="D1" s="3"/>
      <c r="E1" s="3"/>
      <c r="F1" s="3"/>
      <c r="J1" s="5"/>
    </row>
    <row r="2" spans="1:11" s="68" customFormat="1" ht="12" customHeight="1" x14ac:dyDescent="0.2">
      <c r="A2" s="73" t="s">
        <v>173</v>
      </c>
      <c r="B2" s="74" t="s">
        <v>174</v>
      </c>
      <c r="C2" s="138" t="s">
        <v>42</v>
      </c>
      <c r="D2" s="138"/>
      <c r="E2" s="138"/>
      <c r="F2" s="138"/>
      <c r="H2" s="75" t="s">
        <v>175</v>
      </c>
      <c r="J2" s="75" t="s">
        <v>158</v>
      </c>
      <c r="K2" s="75" t="s">
        <v>176</v>
      </c>
    </row>
    <row r="3" spans="1:11" ht="12" customHeight="1" x14ac:dyDescent="0.2">
      <c r="A3" s="139" t="s">
        <v>177</v>
      </c>
      <c r="B3" s="76" t="s">
        <v>141</v>
      </c>
      <c r="C3" s="140"/>
      <c r="D3" s="140"/>
      <c r="E3" s="140"/>
      <c r="F3" s="140"/>
      <c r="H3" s="77" t="s">
        <v>140</v>
      </c>
      <c r="J3" s="77" t="s">
        <v>178</v>
      </c>
      <c r="K3" s="78" t="s">
        <v>159</v>
      </c>
    </row>
    <row r="4" spans="1:11" ht="12" customHeight="1" x14ac:dyDescent="0.2">
      <c r="A4" s="139"/>
      <c r="B4" s="79" t="s">
        <v>142</v>
      </c>
      <c r="C4" s="140"/>
      <c r="D4" s="140"/>
      <c r="E4" s="140" t="s">
        <v>179</v>
      </c>
      <c r="F4" s="140"/>
      <c r="H4" s="80"/>
      <c r="J4" s="80" t="s">
        <v>180</v>
      </c>
      <c r="K4" s="81" t="s">
        <v>181</v>
      </c>
    </row>
    <row r="5" spans="1:11" ht="12" customHeight="1" x14ac:dyDescent="0.2">
      <c r="A5" s="139"/>
      <c r="B5" s="82" t="s">
        <v>182</v>
      </c>
      <c r="C5" s="140"/>
      <c r="D5" s="140"/>
      <c r="E5" s="140"/>
      <c r="F5" s="140"/>
      <c r="H5" s="80"/>
      <c r="J5" s="80" t="s">
        <v>183</v>
      </c>
      <c r="K5" s="81" t="s">
        <v>184</v>
      </c>
    </row>
    <row r="6" spans="1:11" ht="12" customHeight="1" x14ac:dyDescent="0.2">
      <c r="A6" s="139"/>
      <c r="B6" s="82" t="s">
        <v>161</v>
      </c>
      <c r="C6" s="140"/>
      <c r="D6" s="140"/>
      <c r="E6" s="140"/>
      <c r="F6" s="140"/>
      <c r="H6" s="80"/>
      <c r="J6" s="80" t="s">
        <v>185</v>
      </c>
      <c r="K6" s="81" t="s">
        <v>186</v>
      </c>
    </row>
    <row r="7" spans="1:11" ht="12" customHeight="1" x14ac:dyDescent="0.2">
      <c r="A7" s="139"/>
      <c r="B7" s="82" t="s">
        <v>187</v>
      </c>
      <c r="C7" s="140"/>
      <c r="D7" s="140"/>
      <c r="E7" s="140"/>
      <c r="F7" s="140"/>
      <c r="H7" s="80"/>
      <c r="J7" s="80"/>
      <c r="K7" s="80"/>
    </row>
    <row r="8" spans="1:11" ht="12" customHeight="1" x14ac:dyDescent="0.2">
      <c r="A8" s="139"/>
      <c r="B8" s="82" t="s">
        <v>188</v>
      </c>
      <c r="C8" s="140"/>
      <c r="D8" s="140"/>
      <c r="E8" s="140"/>
      <c r="F8" s="140"/>
      <c r="H8" s="80"/>
      <c r="J8" s="80"/>
      <c r="K8" s="80"/>
    </row>
    <row r="9" spans="1:11" ht="12" customHeight="1" x14ac:dyDescent="0.2">
      <c r="A9" s="139"/>
      <c r="B9" s="82" t="s">
        <v>143</v>
      </c>
      <c r="C9" s="140"/>
      <c r="D9" s="140"/>
      <c r="E9" s="140"/>
      <c r="F9" s="140"/>
      <c r="H9" s="80"/>
      <c r="J9" s="80"/>
      <c r="K9" s="80"/>
    </row>
    <row r="10" spans="1:11" ht="12" customHeight="1" x14ac:dyDescent="0.2">
      <c r="A10" s="139"/>
      <c r="B10" s="79"/>
      <c r="C10" s="140" t="s">
        <v>189</v>
      </c>
      <c r="D10" s="140"/>
      <c r="E10" s="140"/>
      <c r="F10" s="140"/>
      <c r="H10" s="80"/>
      <c r="J10" s="80"/>
      <c r="K10" s="80"/>
    </row>
    <row r="11" spans="1:11" ht="12" customHeight="1" x14ac:dyDescent="0.2">
      <c r="A11" s="139"/>
      <c r="B11" s="79"/>
      <c r="C11" s="140" t="s">
        <v>189</v>
      </c>
      <c r="D11" s="140"/>
      <c r="E11" s="140"/>
      <c r="F11" s="140"/>
      <c r="H11" s="80"/>
      <c r="J11" s="80"/>
      <c r="K11" s="80"/>
    </row>
    <row r="12" spans="1:11" ht="12" customHeight="1" x14ac:dyDescent="0.2">
      <c r="A12" s="133" t="s">
        <v>30</v>
      </c>
      <c r="B12" s="83" t="s">
        <v>147</v>
      </c>
      <c r="C12" s="134" t="s">
        <v>190</v>
      </c>
      <c r="D12" s="134"/>
      <c r="E12" s="134"/>
      <c r="F12" s="134"/>
      <c r="H12" s="84"/>
      <c r="J12" s="84"/>
      <c r="K12" s="84"/>
    </row>
    <row r="13" spans="1:11" ht="12" customHeight="1" x14ac:dyDescent="0.2">
      <c r="A13" s="133"/>
      <c r="B13" s="82" t="s">
        <v>144</v>
      </c>
      <c r="C13" s="135"/>
      <c r="D13" s="135"/>
      <c r="E13" s="135"/>
      <c r="F13" s="135"/>
      <c r="H13" s="84"/>
      <c r="J13" s="84"/>
      <c r="K13" s="84"/>
    </row>
    <row r="14" spans="1:11" ht="12" customHeight="1" x14ac:dyDescent="0.2">
      <c r="A14" s="133"/>
      <c r="B14" s="82" t="s">
        <v>191</v>
      </c>
      <c r="C14" s="136"/>
      <c r="D14" s="136"/>
      <c r="E14" s="136" t="s">
        <v>179</v>
      </c>
      <c r="F14" s="136"/>
      <c r="H14" s="84"/>
      <c r="J14" s="84"/>
      <c r="K14" s="84"/>
    </row>
    <row r="15" spans="1:11" ht="12" customHeight="1" x14ac:dyDescent="0.2">
      <c r="A15" s="133"/>
      <c r="B15" s="82" t="s">
        <v>192</v>
      </c>
      <c r="C15" s="136"/>
      <c r="D15" s="136"/>
      <c r="E15" s="136"/>
      <c r="F15" s="136"/>
      <c r="H15" s="84"/>
      <c r="J15" s="84"/>
      <c r="K15" s="84"/>
    </row>
    <row r="16" spans="1:11" ht="12" customHeight="1" x14ac:dyDescent="0.2">
      <c r="A16" s="133"/>
      <c r="B16" s="82" t="s">
        <v>146</v>
      </c>
      <c r="C16" s="136"/>
      <c r="D16" s="136"/>
      <c r="E16" s="136"/>
      <c r="F16" s="136"/>
      <c r="H16" s="84"/>
      <c r="J16" s="84"/>
      <c r="K16" s="84"/>
    </row>
    <row r="17" spans="1:11" ht="12" customHeight="1" x14ac:dyDescent="0.2">
      <c r="A17" s="133"/>
      <c r="B17" s="82" t="s">
        <v>193</v>
      </c>
      <c r="C17" s="136"/>
      <c r="D17" s="136"/>
      <c r="E17" s="136"/>
      <c r="F17" s="136"/>
      <c r="H17" s="80"/>
      <c r="J17" s="80"/>
      <c r="K17" s="80"/>
    </row>
    <row r="18" spans="1:11" ht="12" customHeight="1" x14ac:dyDescent="0.2">
      <c r="A18" s="133"/>
      <c r="B18" s="82" t="s">
        <v>145</v>
      </c>
      <c r="C18" s="136"/>
      <c r="D18" s="136"/>
      <c r="E18" s="136"/>
      <c r="F18" s="136"/>
      <c r="H18" s="80"/>
      <c r="J18" s="80"/>
      <c r="K18" s="80"/>
    </row>
    <row r="19" spans="1:11" ht="12" customHeight="1" x14ac:dyDescent="0.2">
      <c r="A19" s="133"/>
      <c r="B19" s="82" t="s">
        <v>194</v>
      </c>
      <c r="C19" s="136"/>
      <c r="D19" s="136"/>
      <c r="E19" s="136"/>
      <c r="F19" s="136"/>
      <c r="H19" s="80"/>
      <c r="J19" s="80"/>
      <c r="K19" s="80"/>
    </row>
    <row r="20" spans="1:11" ht="12" customHeight="1" x14ac:dyDescent="0.2">
      <c r="A20" s="133"/>
      <c r="B20" s="82" t="s">
        <v>195</v>
      </c>
      <c r="C20" s="136"/>
      <c r="D20" s="136"/>
      <c r="E20" s="136"/>
      <c r="F20" s="136"/>
      <c r="H20" s="80"/>
      <c r="J20" s="80"/>
      <c r="K20" s="80"/>
    </row>
    <row r="21" spans="1:11" ht="12" customHeight="1" x14ac:dyDescent="0.2">
      <c r="A21" s="133"/>
      <c r="B21" s="79"/>
      <c r="C21" s="136" t="s">
        <v>196</v>
      </c>
      <c r="D21" s="136"/>
      <c r="E21" s="136"/>
      <c r="F21" s="136"/>
      <c r="H21" s="80"/>
      <c r="J21" s="80"/>
      <c r="K21" s="80"/>
    </row>
    <row r="22" spans="1:11" ht="12" customHeight="1" x14ac:dyDescent="0.2">
      <c r="A22" s="133"/>
      <c r="B22" s="85"/>
      <c r="C22" s="137" t="s">
        <v>196</v>
      </c>
      <c r="D22" s="137"/>
      <c r="E22" s="137"/>
      <c r="F22" s="137"/>
      <c r="H22" s="80"/>
      <c r="J22" s="80"/>
      <c r="K22" s="80"/>
    </row>
    <row r="23" spans="1:11" ht="12" customHeight="1" x14ac:dyDescent="0.2">
      <c r="A23" s="129" t="s">
        <v>197</v>
      </c>
      <c r="B23" s="129"/>
      <c r="C23" s="129"/>
      <c r="D23" s="129"/>
      <c r="E23" s="129"/>
      <c r="F23" s="129"/>
      <c r="H23" s="80"/>
      <c r="J23" s="80"/>
      <c r="K23" s="80"/>
    </row>
    <row r="24" spans="1:11" ht="12" customHeight="1" x14ac:dyDescent="0.2">
      <c r="A24" s="130"/>
      <c r="B24" s="130"/>
      <c r="C24" s="130"/>
      <c r="D24" s="130"/>
      <c r="E24" s="130"/>
      <c r="F24" s="130"/>
      <c r="H24" s="86"/>
      <c r="J24" s="86"/>
      <c r="K24" s="86"/>
    </row>
    <row r="25" spans="1:11" ht="12" customHeight="1" x14ac:dyDescent="0.2">
      <c r="A25" s="87"/>
      <c r="B25" s="87"/>
      <c r="C25" s="87"/>
      <c r="D25" s="87"/>
      <c r="E25" s="87" t="s">
        <v>198</v>
      </c>
      <c r="F25" s="87"/>
    </row>
    <row r="26" spans="1:11" ht="12" customHeight="1" x14ac:dyDescent="0.2">
      <c r="A26" s="87"/>
      <c r="B26" s="87"/>
      <c r="C26" s="87"/>
      <c r="D26" s="87"/>
      <c r="E26" s="87"/>
      <c r="F26" s="87"/>
    </row>
    <row r="27" spans="1:11" ht="12" customHeight="1" x14ac:dyDescent="0.2">
      <c r="A27" s="131" t="s">
        <v>199</v>
      </c>
      <c r="B27" s="131"/>
      <c r="C27" s="88"/>
      <c r="D27" s="88"/>
      <c r="E27" s="88"/>
      <c r="F27" s="89"/>
    </row>
    <row r="28" spans="1:11" ht="12" customHeight="1" x14ac:dyDescent="0.2">
      <c r="A28" s="90" t="s">
        <v>200</v>
      </c>
      <c r="B28" s="91" t="s">
        <v>141</v>
      </c>
      <c r="C28" s="91"/>
      <c r="D28" s="91"/>
      <c r="E28" s="91"/>
      <c r="F28" s="92"/>
    </row>
    <row r="29" spans="1:11" ht="12" customHeight="1" x14ac:dyDescent="0.2">
      <c r="A29" s="90" t="s">
        <v>30</v>
      </c>
      <c r="B29" s="91" t="s">
        <v>144</v>
      </c>
      <c r="C29" s="91"/>
      <c r="D29" s="91"/>
      <c r="E29" s="91"/>
      <c r="F29" s="92"/>
    </row>
    <row r="30" spans="1:11" ht="12" customHeight="1" x14ac:dyDescent="0.2">
      <c r="A30" s="132" t="s">
        <v>201</v>
      </c>
      <c r="B30" s="132"/>
      <c r="C30" s="93"/>
      <c r="D30" s="93"/>
      <c r="E30" s="93"/>
      <c r="F30" s="94"/>
    </row>
    <row r="31" spans="1:11" ht="12" customHeight="1" x14ac:dyDescent="0.2">
      <c r="A31" s="95" t="s">
        <v>200</v>
      </c>
      <c r="B31" s="96" t="s">
        <v>30</v>
      </c>
      <c r="C31" s="96" t="s">
        <v>6</v>
      </c>
      <c r="D31" s="96" t="s">
        <v>165</v>
      </c>
      <c r="E31" s="96" t="s">
        <v>24</v>
      </c>
      <c r="F31" s="97" t="s">
        <v>34</v>
      </c>
    </row>
    <row r="32" spans="1:11" ht="12" customHeight="1" x14ac:dyDescent="0.2">
      <c r="A32" s="98" t="s">
        <v>188</v>
      </c>
      <c r="B32" s="99" t="s">
        <v>147</v>
      </c>
      <c r="C32" s="100" t="s">
        <v>202</v>
      </c>
      <c r="D32" s="99" t="s">
        <v>21</v>
      </c>
      <c r="E32" s="99" t="s">
        <v>203</v>
      </c>
      <c r="F32" s="101" t="s">
        <v>118</v>
      </c>
    </row>
    <row r="33" spans="1:6" ht="12" customHeight="1" x14ac:dyDescent="0.2">
      <c r="A33" s="98" t="s">
        <v>141</v>
      </c>
      <c r="B33" s="99" t="s">
        <v>194</v>
      </c>
      <c r="C33" s="100" t="s">
        <v>202</v>
      </c>
      <c r="D33" s="99" t="s">
        <v>21</v>
      </c>
      <c r="E33" s="99" t="s">
        <v>203</v>
      </c>
      <c r="F33" s="101" t="s">
        <v>120</v>
      </c>
    </row>
    <row r="34" spans="1:6" ht="12" customHeight="1" x14ac:dyDescent="0.2">
      <c r="A34" s="98" t="s">
        <v>161</v>
      </c>
      <c r="B34" s="99" t="s">
        <v>145</v>
      </c>
      <c r="C34" s="100" t="s">
        <v>202</v>
      </c>
      <c r="D34" s="99" t="s">
        <v>21</v>
      </c>
      <c r="E34" s="99" t="s">
        <v>203</v>
      </c>
      <c r="F34" s="101" t="s">
        <v>108</v>
      </c>
    </row>
    <row r="35" spans="1:6" ht="12" customHeight="1" x14ac:dyDescent="0.2">
      <c r="A35" s="102" t="s">
        <v>142</v>
      </c>
      <c r="B35" s="103" t="s">
        <v>194</v>
      </c>
      <c r="C35" s="104" t="s">
        <v>202</v>
      </c>
      <c r="D35" s="103" t="s">
        <v>21</v>
      </c>
      <c r="E35" s="104">
        <v>41249</v>
      </c>
      <c r="F35" s="105" t="s">
        <v>112</v>
      </c>
    </row>
    <row r="36" spans="1:6" ht="12" customHeight="1" x14ac:dyDescent="0.2">
      <c r="A36" s="106"/>
      <c r="B36" s="106"/>
      <c r="D36" s="106"/>
      <c r="E36" s="106"/>
      <c r="F36" s="106"/>
    </row>
    <row r="37" spans="1:6" ht="12" customHeight="1" x14ac:dyDescent="0.2">
      <c r="A37" s="106"/>
      <c r="B37" s="106"/>
      <c r="D37" s="106"/>
      <c r="E37" s="106"/>
      <c r="F37" s="106"/>
    </row>
    <row r="38" spans="1:6" ht="12" customHeight="1" x14ac:dyDescent="0.2">
      <c r="A38" s="106"/>
      <c r="B38" s="106"/>
      <c r="D38" s="106"/>
      <c r="E38" s="106"/>
      <c r="F38" s="106"/>
    </row>
  </sheetData>
  <mergeCells count="27">
    <mergeCell ref="C2:F2"/>
    <mergeCell ref="A3:A11"/>
    <mergeCell ref="C3:F3"/>
    <mergeCell ref="C4:F4"/>
    <mergeCell ref="C5:F5"/>
    <mergeCell ref="C6:F6"/>
    <mergeCell ref="C7:F7"/>
    <mergeCell ref="C8:F8"/>
    <mergeCell ref="C9:F9"/>
    <mergeCell ref="C10:F10"/>
    <mergeCell ref="C11:F11"/>
    <mergeCell ref="A23:F23"/>
    <mergeCell ref="A24:F24"/>
    <mergeCell ref="A27:B27"/>
    <mergeCell ref="A30:B30"/>
    <mergeCell ref="A12:A22"/>
    <mergeCell ref="C12:F12"/>
    <mergeCell ref="C13:F13"/>
    <mergeCell ref="C14:F14"/>
    <mergeCell ref="C15:F15"/>
    <mergeCell ref="C16:F16"/>
    <mergeCell ref="C17:F17"/>
    <mergeCell ref="C18:F18"/>
    <mergeCell ref="C19:F19"/>
    <mergeCell ref="C20:F20"/>
    <mergeCell ref="C21:F21"/>
    <mergeCell ref="C22:F22"/>
  </mergeCells>
  <conditionalFormatting sqref="A2:F43">
    <cfRule type="cellIs" dxfId="6" priority="2" operator="equal">
      <formula>"Not Acceptable"</formula>
    </cfRule>
    <cfRule type="cellIs" dxfId="5" priority="3" operator="equal">
      <formula>"Acceptable"</formula>
    </cfRule>
    <cfRule type="cellIs" dxfId="4" priority="4" operator="equal">
      <formula>"Low"</formula>
    </cfRule>
    <cfRule type="cellIs" dxfId="3" priority="5" operator="equal">
      <formula>"Below Medium"</formula>
    </cfRule>
    <cfRule type="cellIs" dxfId="2" priority="6" operator="equal">
      <formula>"Medium"</formula>
    </cfRule>
    <cfRule type="cellIs" dxfId="1" priority="7" operator="equal">
      <formula>"Above Medium"</formula>
    </cfRule>
    <cfRule type="cellIs" dxfId="0" priority="8" operator="equal">
      <formula>"High"</formula>
    </cfRule>
  </conditionalFormatting>
  <dataValidations count="5">
    <dataValidation type="list" allowBlank="1" showInputMessage="1" showErrorMessage="1" sqref="D32:D35" xr:uid="{00000000-0002-0000-0300-000000000000}">
      <formula1>Test_types</formula1>
      <formula2>0</formula2>
    </dataValidation>
    <dataValidation type="list" allowBlank="1" showInputMessage="1" showErrorMessage="1" sqref="F32:F35" xr:uid="{00000000-0002-0000-0300-000001000000}">
      <formula1>Quality_range</formula1>
      <formula2>0</formula2>
    </dataValidation>
    <dataValidation type="list" allowBlank="1" showInputMessage="1" showErrorMessage="1" sqref="B28 A32:A35" xr:uid="{00000000-0002-0000-0300-000002000000}">
      <formula1>Environment_OS</formula1>
      <formula2>0</formula2>
    </dataValidation>
    <dataValidation type="list" allowBlank="1" showInputMessage="1" showErrorMessage="1" sqref="B29" xr:uid="{00000000-0002-0000-0300-000003000000}">
      <formula1>Browser_list</formula1>
      <formula2>0</formula2>
    </dataValidation>
    <dataValidation type="list" allowBlank="1" showInputMessage="1" showErrorMessage="1" sqref="B32:B35" xr:uid="{00000000-0002-0000-0300-000004000000}">
      <formula1>$B$12:$B$22</formula1>
      <formula2>0</formula2>
    </dataValidation>
  </dataValidations>
  <hyperlinks>
    <hyperlink ref="K3" r:id="rId1" xr:uid="{00000000-0004-0000-0300-000000000000}"/>
    <hyperlink ref="K4" r:id="rId2" xr:uid="{00000000-0004-0000-0300-000001000000}"/>
    <hyperlink ref="K5" r:id="rId3" xr:uid="{00000000-0004-0000-0300-000002000000}"/>
    <hyperlink ref="K6" r:id="rId4" xr:uid="{00000000-0004-0000-0300-000003000000}"/>
  </hyperlink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91</TotalTime>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Description</vt:lpstr>
      <vt:lpstr>Build Info</vt:lpstr>
      <vt:lpstr>Work</vt:lpstr>
      <vt:lpstr>Testing Plan</vt:lpstr>
      <vt:lpstr>Browser_list</vt:lpstr>
      <vt:lpstr>Environment_OS</vt:lpstr>
      <vt:lpstr>Project_URL</vt:lpstr>
      <vt:lpstr>Quality_range</vt:lpstr>
      <vt:lpstr>Test_coverage</vt:lpstr>
      <vt:lpstr>Test_status</vt:lpstr>
      <vt:lpstr>Test_Team</vt:lpstr>
      <vt:lpstr>Test_types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DailyFitLog Acceptance sheet</cp:keywords>
  <dc:description/>
  <cp:lastModifiedBy>Farhana Islam Chowdhury</cp:lastModifiedBy>
  <cp:revision>21</cp:revision>
  <dcterms:created xsi:type="dcterms:W3CDTF">2007-06-26T08:13:00Z</dcterms:created>
  <dcterms:modified xsi:type="dcterms:W3CDTF">2025-04-19T12:23:28Z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
    <vt:lpwstr>Document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Owner">
    <vt:lpwstr/>
  </property>
  <property fmtid="{D5CDD505-2E9C-101B-9397-08002B2CF9AE}" pid="8" name="SPSDescription">
    <vt:lpwstr/>
  </property>
  <property fmtid="{D5CDD505-2E9C-101B-9397-08002B2CF9AE}" pid="9" name="ScaleCrop">
    <vt:bool>false</vt:bool>
  </property>
  <property fmtid="{D5CDD505-2E9C-101B-9397-08002B2CF9AE}" pid="10" name="ShareDoc">
    <vt:bool>false</vt:bool>
  </property>
  <property fmtid="{D5CDD505-2E9C-101B-9397-08002B2CF9AE}" pid="11" name="State">
    <vt:lpwstr>Active</vt:lpwstr>
  </property>
  <property fmtid="{D5CDD505-2E9C-101B-9397-08002B2CF9AE}" pid="12" name="Status">
    <vt:lpwstr/>
  </property>
</Properties>
</file>