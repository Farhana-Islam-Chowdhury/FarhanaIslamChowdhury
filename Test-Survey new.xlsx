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xr:revisionPtr revIDLastSave="0" documentId="13_ncr:1_{D53F5099-AFDD-4C00-9063-1AFBDD8FC6DD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Work" sheetId="3" r:id="rId1"/>
  </sheets>
  <definedNames>
    <definedName name="_xlnm._FilterDatabase" localSheetId="0">Work!$A$1:$H$22</definedName>
    <definedName name="B_Critical">OFFSET([0]!Build_Number,49,0)</definedName>
    <definedName name="Blocker">OFFSET([0]!Build_Number,48,0)</definedName>
    <definedName name="Browser_list">#REF!</definedName>
    <definedName name="Build_Number">OFFSET(#REF!,0,0,1,COUNTA(#REF!)-2)</definedName>
    <definedName name="Defects_Total">OFFSET([0]!Build_Number,26,0)</definedName>
    <definedName name="Environment_OS">#REF!</definedName>
    <definedName name="Major">OFFSET([0]!Build_Number,50,0)</definedName>
    <definedName name="Minor">OFFSET([0]!Build_Number,51,0)</definedName>
    <definedName name="Project_URL">#REF!</definedName>
    <definedName name="Quality">OFFSET([0]!Build_Number,8,0)</definedName>
    <definedName name="Quality_range">#REF!</definedName>
    <definedName name="Size">OFFSET([0]!Build_Number,6,0)</definedName>
    <definedName name="Test_coverage">#REF!</definedName>
    <definedName name="Test_status">#REF!</definedName>
    <definedName name="Test_Team">#REF!</definedName>
    <definedName name="Test_types">#REF!</definedName>
    <definedName name="Trivial">OFFSET([0]!Build_Number,52,0)</definedName>
  </definedNames>
  <calcPr calcId="191029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19" i="3" l="1"/>
  <c r="E18" i="3"/>
  <c r="E17" i="3"/>
  <c r="E16" i="3"/>
  <c r="E15" i="3"/>
  <c r="E14" i="3"/>
  <c r="E13" i="3"/>
  <c r="E12" i="3"/>
  <c r="E11" i="3"/>
  <c r="E10" i="3"/>
  <c r="E20" i="3"/>
  <c r="E9" i="3" l="1"/>
  <c r="G15" i="3" s="1"/>
  <c r="G16" i="3" l="1"/>
  <c r="G17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1" authorId="0" shapeId="0" xr:uid="{00000000-0006-0000-0200-000001000000}">
      <text>
        <r>
          <rPr>
            <sz val="9"/>
            <color rgb="FF000000"/>
            <rFont val="Tahoma"/>
            <family val="2"/>
            <charset val="204"/>
          </rPr>
          <t>required</t>
        </r>
      </text>
    </comment>
    <comment ref="D2" authorId="0" shapeId="0" xr:uid="{00000000-0006-0000-0200-000002000000}">
      <text>
        <r>
          <rPr>
            <sz val="9"/>
            <color rgb="FF000000"/>
            <rFont val="Tahoma"/>
            <family val="2"/>
            <charset val="204"/>
          </rPr>
          <t>required</t>
        </r>
      </text>
    </comment>
    <comment ref="D3" authorId="0" shapeId="0" xr:uid="{00000000-0006-0000-0200-000003000000}">
      <text>
        <r>
          <rPr>
            <sz val="9"/>
            <color rgb="FF000000"/>
            <rFont val="Tahoma"/>
            <family val="2"/>
            <charset val="204"/>
          </rPr>
          <t>required</t>
        </r>
      </text>
    </comment>
    <comment ref="D4" authorId="0" shapeId="0" xr:uid="{00000000-0006-0000-0200-000004000000}">
      <text>
        <r>
          <rPr>
            <sz val="9"/>
            <color rgb="FF000000"/>
            <rFont val="Tahoma"/>
            <family val="2"/>
            <charset val="204"/>
          </rPr>
          <t>required</t>
        </r>
      </text>
    </comment>
    <comment ref="D5" authorId="0" shapeId="0" xr:uid="{00000000-0006-0000-0200-000005000000}">
      <text>
        <r>
          <rPr>
            <sz val="9"/>
            <color rgb="FF000000"/>
            <rFont val="Tahoma"/>
            <family val="2"/>
            <charset val="204"/>
          </rPr>
          <t>required</t>
        </r>
      </text>
    </comment>
  </commentList>
</comments>
</file>

<file path=xl/sharedStrings.xml><?xml version="1.0" encoding="utf-8"?>
<sst xmlns="http://schemas.openxmlformats.org/spreadsheetml/2006/main" count="624" uniqueCount="148">
  <si>
    <t>Test type</t>
  </si>
  <si>
    <t>AT</t>
  </si>
  <si>
    <t>Test date</t>
  </si>
  <si>
    <t>Tester</t>
  </si>
  <si>
    <t>Browser</t>
  </si>
  <si>
    <t>Critical</t>
  </si>
  <si>
    <t>Major</t>
  </si>
  <si>
    <t>Average</t>
  </si>
  <si>
    <t>Minor</t>
  </si>
  <si>
    <t>Enhancement</t>
  </si>
  <si>
    <t>OK</t>
  </si>
  <si>
    <t>Partially tested</t>
  </si>
  <si>
    <t>Not available</t>
  </si>
  <si>
    <t>Not implemented</t>
  </si>
  <si>
    <t>Not tested</t>
  </si>
  <si>
    <t>Build number</t>
  </si>
  <si>
    <t>M. Matievskaya</t>
  </si>
  <si>
    <t>IE 9</t>
  </si>
  <si>
    <t>Module</t>
  </si>
  <si>
    <t>Description</t>
  </si>
  <si>
    <t>1.0.1</t>
  </si>
  <si>
    <t>Project Environment</t>
  </si>
  <si>
    <t>http://projectx_live.com</t>
  </si>
  <si>
    <t>Operating System</t>
  </si>
  <si>
    <t>iPhone 5</t>
  </si>
  <si>
    <t>Test Cases Statistics</t>
  </si>
  <si>
    <t>Total Test Cases Run</t>
  </si>
  <si>
    <t>Total Time Spent, h</t>
  </si>
  <si>
    <t>Test Type</t>
  </si>
  <si>
    <t>Functionality</t>
  </si>
  <si>
    <t>Actions</t>
  </si>
  <si>
    <t>Expected Result</t>
  </si>
  <si>
    <t>Result</t>
  </si>
  <si>
    <t>Comment</t>
  </si>
  <si>
    <t>Time Spent, min (No need to count)</t>
  </si>
  <si>
    <t>Submodule 1</t>
  </si>
  <si>
    <t>Smoke</t>
  </si>
  <si>
    <t>Submodule 2</t>
  </si>
  <si>
    <t>Work</t>
  </si>
  <si>
    <t>Perform check that the dropdown menu</t>
  </si>
  <si>
    <t xml:space="preserve">The dropdown menu should displayed </t>
  </si>
  <si>
    <t>f2.chowdhury</t>
  </si>
  <si>
    <t xml:space="preserve">Perform check that the dropdown menu option </t>
  </si>
  <si>
    <t xml:space="preserve">              Smoke</t>
  </si>
  <si>
    <t>Portrait,Life style,Travel and Motion menu should be displayed</t>
  </si>
  <si>
    <t>Perform check by hovar hovar</t>
  </si>
  <si>
    <t>The color should be red</t>
  </si>
  <si>
    <t>Portrait</t>
  </si>
  <si>
    <t>The Work Module has four types of photo galleries: Portrait, Lifestyle, Travel, and Motion. Each gallery has its own page with a collection of photos. Every photo shows a small preview with a tooltip that displays the photo number. Users can click to preview the photos, open several photos at the same time, and expand them to see a larger view. All gallery pages also have a pagination system, which helps users move through different sets of photos easily.</t>
  </si>
  <si>
    <t>It should be clickable</t>
  </si>
  <si>
    <t>Portrait Gallery page should be displayed</t>
  </si>
  <si>
    <t>Perform check the page title</t>
  </si>
  <si>
    <t>Photo should be displayed</t>
  </si>
  <si>
    <t>Perform check by click on the photo</t>
  </si>
  <si>
    <t>Photo should be opened</t>
  </si>
  <si>
    <t>Perform check the order of the photo</t>
  </si>
  <si>
    <t>Photo should be displayed according to order</t>
  </si>
  <si>
    <t>Perform check by click on the portrait button</t>
  </si>
  <si>
    <t>Perform check after click the portrait button</t>
  </si>
  <si>
    <t xml:space="preserve">Perform check for the photo </t>
  </si>
  <si>
    <t>The frame should be in gray color</t>
  </si>
  <si>
    <t>Perform check the color of the frame in photo</t>
  </si>
  <si>
    <t>Perform check the color of the frame when cursor is on the photo</t>
  </si>
  <si>
    <t>The frame  color should be in white color</t>
  </si>
  <si>
    <t>Perform check the tooltip with photo number in preview photo</t>
  </si>
  <si>
    <t>Tooltip with photo number should be displayed in preview photo</t>
  </si>
  <si>
    <t>Perform check the text language in preview photo</t>
  </si>
  <si>
    <t>The text should be displayed in English language</t>
  </si>
  <si>
    <t>Perform check by click on the close button in preview photo</t>
  </si>
  <si>
    <t>The preview photo should be closed</t>
  </si>
  <si>
    <t>Perform check by click on all the button in the preview photo</t>
  </si>
  <si>
    <t>All the button should work correctly</t>
  </si>
  <si>
    <t>Perform check by clicking on the 'expand the image' icon</t>
  </si>
  <si>
    <t>The preview photo should be expand</t>
  </si>
  <si>
    <t>Perform check of the availability of expand icon in all the preview photo</t>
  </si>
  <si>
    <t>The expand icon should be available in all the preview photo</t>
  </si>
  <si>
    <t>The pagination system should be displayed in all the page</t>
  </si>
  <si>
    <t>Perform check of the availability of the pagination system</t>
  </si>
  <si>
    <t>Perform check of the pagination system</t>
  </si>
  <si>
    <t>Pagination system should work correctly</t>
  </si>
  <si>
    <t>All the link should be correct</t>
  </si>
  <si>
    <t>Perform check of the Facebook, Twitter, Instagram and Youtube link in footer</t>
  </si>
  <si>
    <t>Perform check of the Address in footer</t>
  </si>
  <si>
    <t>The address should be correct</t>
  </si>
  <si>
    <t>Perform check of all the spelling in footer</t>
  </si>
  <si>
    <t>All the spelling should be correct</t>
  </si>
  <si>
    <t>Perform check of the phone number in footer</t>
  </si>
  <si>
    <t>The phone number should be correct</t>
  </si>
  <si>
    <t>Perform check of the email id in footer</t>
  </si>
  <si>
    <t>The email id should be correct</t>
  </si>
  <si>
    <t>Perform check the total number of photo</t>
  </si>
  <si>
    <t>Perform check the total number of page</t>
  </si>
  <si>
    <t>The total number of page should be 4</t>
  </si>
  <si>
    <t>The total number of photo should be 40</t>
  </si>
  <si>
    <t>Perform check the total number of photos in 1st page</t>
  </si>
  <si>
    <t>There should be 12 photos</t>
  </si>
  <si>
    <t>Perform check the total number of photos in 2nd page</t>
  </si>
  <si>
    <t>Perform check the total number of photos in 3rd page</t>
  </si>
  <si>
    <t>Perform check the total number of photos in 4th page</t>
  </si>
  <si>
    <t>There should be 4 photos</t>
  </si>
  <si>
    <t>Perform check the size of the preview photo</t>
  </si>
  <si>
    <t>The size should be 225px*130px</t>
  </si>
  <si>
    <t>Perform check by hovar the cursor in all preview photo</t>
  </si>
  <si>
    <t>All the photos's frame should highlight</t>
  </si>
  <si>
    <t>LifeStyle</t>
  </si>
  <si>
    <t>Perform check by click on the LifeStyle button</t>
  </si>
  <si>
    <t>Perform check after click the LifeStyle button</t>
  </si>
  <si>
    <t>Page title should be displayed as "LIFESTYLE GALLERY"</t>
  </si>
  <si>
    <t>Perform check for the photo displayed in page 1</t>
  </si>
  <si>
    <t>All the Photo should be displayed</t>
  </si>
  <si>
    <t>Perform check for the photo displayed in page 2</t>
  </si>
  <si>
    <t>Perform check for the photo displayed in page 3</t>
  </si>
  <si>
    <t>Perform check for the photo displayed in page 4</t>
  </si>
  <si>
    <t>Perform check for the photo displayed in page 5</t>
  </si>
  <si>
    <t>Perform check by clicking outside of the open photo</t>
  </si>
  <si>
    <t>The open photo should be closed</t>
  </si>
  <si>
    <t>All the Photo should be opened</t>
  </si>
  <si>
    <t>Perform check by clicking several time on a photo at a time</t>
  </si>
  <si>
    <t>The photo should be open</t>
  </si>
  <si>
    <t>Perform check by clicking multiple photo at a time</t>
  </si>
  <si>
    <t xml:space="preserve"> Multiple photos should be opened simultaneously</t>
  </si>
  <si>
    <t>Perform check by clicking outside of the open photo in page 1</t>
  </si>
  <si>
    <t>Perform check by clicking outside of the open photo in page 2</t>
  </si>
  <si>
    <t>Perform check by clicking outside of the open photo in page 3</t>
  </si>
  <si>
    <t>Perform check by clicking outside of the open photo in page 4</t>
  </si>
  <si>
    <t>Perform check by clicking outside of the open photo in page 5</t>
  </si>
  <si>
    <t>Perform check of display of all preview photo of current page when hovar over the open photo</t>
  </si>
  <si>
    <t>All preview photo should be displayed</t>
  </si>
  <si>
    <t>Perform check of display of all preview photo of  page1 when hovar over the open photo</t>
  </si>
  <si>
    <t>Perform check of display of all preview photo of page2 when hovar over the open photo</t>
  </si>
  <si>
    <t>Perform check of display of all preview photo of  page 3 when hovar over the open photo</t>
  </si>
  <si>
    <t>Perform check of display of all preview photo of page4  when hovar over the open photo</t>
  </si>
  <si>
    <t>Perform check of display of all preview photo of page 5 when hovar over the open photo</t>
  </si>
  <si>
    <t>Submodule 3</t>
  </si>
  <si>
    <t>Travel</t>
  </si>
  <si>
    <t>Perform check the total number of photos in 5th page</t>
  </si>
  <si>
    <t>Perform check by click on the travel button</t>
  </si>
  <si>
    <t>Perform check after click the travel button</t>
  </si>
  <si>
    <t>Page title should be displayed as "PORTRAIT GALLERY"</t>
  </si>
  <si>
    <t>Page title should be displayed as "TRAVEL GALLERY"</t>
  </si>
  <si>
    <t>The total number of photo should be 60</t>
  </si>
  <si>
    <t>The total number of page should be 5</t>
  </si>
  <si>
    <t>The total number of photo should be 36</t>
  </si>
  <si>
    <t>Submodule 4</t>
  </si>
  <si>
    <t>Motion</t>
  </si>
  <si>
    <t>Perform check by click on the  Motione button</t>
  </si>
  <si>
    <t xml:space="preserve"> Work</t>
  </si>
  <si>
    <t xml:space="preserve">                        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</si>
</sst>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"/>
    <numFmt numFmtId="165" formatCode="[$-809]dd\ mmmm\ yyyy;@"/>
  </numFmts>
  <fonts count="21" x14ac:knownFonts="1">
    <font>
      <sz val="10"/>
      <name val="Arial"/>
      <charset val="204"/>
    </font>
    <font>
      <sz val="11"/>
      <color rgb="FF000000"/>
      <name val="Calibri"/>
      <family val="2"/>
      <charset val="204"/>
    </font>
    <font>
      <sz val="10"/>
      <name val="Arial"/>
      <family val="2"/>
      <charset val="204"/>
    </font>
    <font>
      <sz val="10"/>
      <name val="Arial Cyr"/>
      <charset val="204"/>
    </font>
    <font>
      <sz val="8"/>
      <name val="Arial"/>
      <family val="2"/>
      <charset val="204"/>
    </font>
    <font>
      <sz val="11"/>
      <color rgb="FFFFFFFF"/>
      <name val="Calibri"/>
      <family val="2"/>
      <charset val="1"/>
    </font>
    <font>
      <b/>
      <sz val="9"/>
      <color rgb="FFFFFFFF"/>
      <name val="Arial"/>
      <family val="2"/>
      <charset val="204"/>
    </font>
    <font>
      <b/>
      <sz val="8"/>
      <name val="Arial"/>
      <family val="2"/>
      <charset val="204"/>
    </font>
    <font>
      <sz val="11"/>
      <color rgb="FF006100"/>
      <name val="Calibri"/>
      <family val="2"/>
      <charset val="1"/>
    </font>
    <font>
      <sz val="11"/>
      <color rgb="FF9C6500"/>
      <name val="Calibri"/>
      <family val="2"/>
      <charset val="1"/>
    </font>
    <font>
      <sz val="11"/>
      <color rgb="FF9C0006"/>
      <name val="Calibri"/>
      <family val="2"/>
      <charset val="1"/>
    </font>
    <font>
      <sz val="9"/>
      <color rgb="FF000000"/>
      <name val="Tahoma"/>
      <family val="2"/>
      <charset val="204"/>
    </font>
    <font>
      <b/>
      <sz val="8"/>
      <color rgb="FF000000"/>
      <name val="Arial"/>
      <family val="2"/>
      <charset val="204"/>
    </font>
    <font>
      <sz val="9"/>
      <color rgb="FFFFFFFF"/>
      <name val="Arial"/>
      <family val="2"/>
      <charset val="204"/>
    </font>
    <font>
      <sz val="11"/>
      <color rgb="FF000000"/>
      <name val="Calibri"/>
      <family val="2"/>
      <charset val="1"/>
    </font>
    <font>
      <b/>
      <sz val="9"/>
      <color rgb="FF000000"/>
      <name val="Arial"/>
      <family val="2"/>
      <charset val="204"/>
    </font>
    <font>
      <sz val="9"/>
      <name val="Arial"/>
      <family val="2"/>
      <charset val="204"/>
    </font>
    <font>
      <b/>
      <sz val="8"/>
      <color rgb="FF4D5361"/>
      <name val="Arial"/>
      <family val="2"/>
      <charset val="204"/>
    </font>
    <font>
      <u/>
      <sz val="10"/>
      <color rgb="FF0000FF"/>
      <name val="Arial"/>
      <family val="2"/>
      <charset val="204"/>
    </font>
    <font>
      <u/>
      <sz val="8"/>
      <color rgb="FF0000FF"/>
      <name val="Arial"/>
      <family val="2"/>
      <charset val="204"/>
    </font>
    <font>
      <sz val="8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E6E0EC"/>
        <bgColor rgb="FFF2F2F2"/>
      </patternFill>
    </fill>
    <fill>
      <patternFill patternType="solid">
        <fgColor rgb="FF8064A2"/>
        <bgColor rgb="FF808080"/>
      </patternFill>
    </fill>
    <fill>
      <patternFill patternType="solid">
        <fgColor rgb="FFC6EFCE"/>
        <bgColor rgb="FFC3DFF9"/>
      </patternFill>
    </fill>
    <fill>
      <patternFill patternType="solid">
        <fgColor rgb="FF9BBB59"/>
        <bgColor rgb="FF8AC181"/>
      </patternFill>
    </fill>
    <fill>
      <patternFill patternType="solid">
        <fgColor rgb="FFFFEB9C"/>
        <bgColor rgb="FFFFFFCC"/>
      </patternFill>
    </fill>
    <fill>
      <patternFill patternType="solid">
        <fgColor rgb="FFF79646"/>
        <bgColor rgb="FFFF8C00"/>
      </patternFill>
    </fill>
    <fill>
      <patternFill patternType="solid">
        <fgColor rgb="FFFFC7CE"/>
        <bgColor rgb="FFD8BFEB"/>
      </patternFill>
    </fill>
    <fill>
      <patternFill patternType="solid">
        <fgColor rgb="FFFFFFFF"/>
        <bgColor rgb="FFF2F2F2"/>
      </patternFill>
    </fill>
    <fill>
      <patternFill patternType="solid">
        <fgColor rgb="FF437381"/>
        <bgColor rgb="FF4A7EBB"/>
      </patternFill>
    </fill>
    <fill>
      <patternFill patternType="solid">
        <fgColor rgb="FF7CACBC"/>
        <bgColor rgb="FF8AC181"/>
      </patternFill>
    </fill>
    <fill>
      <patternFill patternType="solid">
        <fgColor rgb="FFFFFF00"/>
        <bgColor rgb="FFFFF019"/>
      </patternFill>
    </fill>
  </fills>
  <borders count="6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3">
    <xf numFmtId="0" fontId="0" fillId="0" borderId="0"/>
    <xf numFmtId="0" fontId="18" fillId="0" borderId="0" applyBorder="0" applyProtection="0"/>
    <xf numFmtId="0" fontId="1" fillId="2" borderId="0" applyBorder="0" applyProtection="0"/>
    <xf numFmtId="0" fontId="2" fillId="0" borderId="0"/>
    <xf numFmtId="0" fontId="2" fillId="0" borderId="0"/>
    <xf numFmtId="0" fontId="3" fillId="0" borderId="0"/>
    <xf numFmtId="0" fontId="5" fillId="3" borderId="0" applyBorder="0" applyProtection="0"/>
    <xf numFmtId="0" fontId="8" fillId="4" borderId="0" applyBorder="0" applyProtection="0"/>
    <xf numFmtId="0" fontId="5" fillId="5" borderId="0" applyBorder="0" applyProtection="0"/>
    <xf numFmtId="0" fontId="9" fillId="6" borderId="0" applyBorder="0" applyProtection="0"/>
    <xf numFmtId="0" fontId="5" fillId="7" borderId="0" applyBorder="0" applyProtection="0"/>
    <xf numFmtId="0" fontId="10" fillId="8" borderId="0" applyBorder="0" applyProtection="0"/>
    <xf numFmtId="0" fontId="14" fillId="2" borderId="0" applyBorder="0" applyProtection="0"/>
  </cellStyleXfs>
  <cellXfs count="31">
    <xf numFmtId="0" fontId="0" fillId="0" borderId="0" xfId="0"/>
    <xf numFmtId="0" fontId="6" fillId="10" borderId="1" xfId="6" applyFont="1" applyFill="1" applyBorder="1" applyAlignment="1" applyProtection="1">
      <alignment horizontal="center" vertical="center" wrapText="1"/>
    </xf>
    <xf numFmtId="0" fontId="4" fillId="0" borderId="0" xfId="0" applyFont="1" applyAlignment="1">
      <alignment vertical="center"/>
    </xf>
    <xf numFmtId="0" fontId="4" fillId="0" borderId="1" xfId="5" applyFont="1" applyBorder="1" applyAlignment="1" applyProtection="1">
      <alignment horizontal="center" vertical="center"/>
      <protection locked="0"/>
    </xf>
    <xf numFmtId="0" fontId="4" fillId="0" borderId="0" xfId="0" applyFont="1"/>
    <xf numFmtId="0" fontId="4" fillId="0" borderId="0" xfId="0" applyFont="1" applyAlignment="1">
      <alignment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wrapText="1"/>
    </xf>
    <xf numFmtId="0" fontId="6" fillId="10" borderId="1" xfId="6" applyFont="1" applyFill="1" applyBorder="1" applyAlignment="1" applyProtection="1">
      <alignment horizontal="right" vertical="center" wrapText="1"/>
    </xf>
    <xf numFmtId="0" fontId="12" fillId="11" borderId="2" xfId="12" applyFont="1" applyFill="1" applyBorder="1" applyAlignment="1" applyProtection="1">
      <alignment horizontal="right" vertical="center" wrapText="1" shrinkToFit="1"/>
    </xf>
    <xf numFmtId="0" fontId="12" fillId="11" borderId="3" xfId="12" applyFont="1" applyFill="1" applyBorder="1" applyAlignment="1" applyProtection="1">
      <alignment horizontal="right" vertical="center" wrapText="1" shrinkToFit="1"/>
    </xf>
    <xf numFmtId="0" fontId="6" fillId="10" borderId="1" xfId="12" applyFont="1" applyFill="1" applyBorder="1" applyAlignment="1" applyProtection="1">
      <alignment horizontal="center" vertical="center" wrapText="1"/>
    </xf>
    <xf numFmtId="0" fontId="15" fillId="12" borderId="1" xfId="12" applyFont="1" applyFill="1" applyBorder="1" applyAlignment="1" applyProtection="1">
      <alignment horizontal="center" vertical="center" wrapText="1"/>
    </xf>
    <xf numFmtId="0" fontId="16" fillId="0" borderId="0" xfId="0" applyFont="1"/>
    <xf numFmtId="0" fontId="16" fillId="0" borderId="0" xfId="0" applyFont="1" applyAlignment="1">
      <alignment vertical="center"/>
    </xf>
    <xf numFmtId="0" fontId="17" fillId="11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vertical="center" wrapText="1"/>
    </xf>
    <xf numFmtId="0" fontId="19" fillId="0" borderId="1" xfId="1" applyFont="1" applyBorder="1" applyAlignment="1" applyProtection="1">
      <alignment horizontal="left" vertical="center" wrapText="1"/>
    </xf>
    <xf numFmtId="0" fontId="4" fillId="0" borderId="1" xfId="5" applyFont="1" applyBorder="1" applyAlignment="1">
      <alignment horizontal="left" vertical="top" wrapText="1"/>
    </xf>
    <xf numFmtId="0" fontId="18" fillId="0" borderId="0" xfId="1"/>
    <xf numFmtId="0" fontId="6" fillId="10" borderId="1" xfId="6" applyFont="1" applyFill="1" applyBorder="1" applyAlignment="1" applyProtection="1">
      <alignment horizontal="center" vertical="center" wrapText="1"/>
    </xf>
    <xf numFmtId="164" fontId="13" fillId="10" borderId="1" xfId="6" applyNumberFormat="1" applyFont="1" applyFill="1" applyBorder="1" applyAlignment="1" applyProtection="1">
      <alignment horizontal="center" vertical="center" wrapText="1"/>
    </xf>
    <xf numFmtId="165" fontId="13" fillId="10" borderId="1" xfId="6" applyNumberFormat="1" applyFont="1" applyFill="1" applyBorder="1" applyAlignment="1" applyProtection="1">
      <alignment horizontal="center" vertical="center" wrapText="1"/>
    </xf>
    <xf numFmtId="0" fontId="13" fillId="10" borderId="1" xfId="6" applyFont="1" applyFill="1" applyBorder="1" applyAlignment="1" applyProtection="1">
      <alignment horizontal="center" vertical="center" wrapText="1"/>
    </xf>
    <xf numFmtId="0" fontId="7" fillId="9" borderId="5" xfId="6" applyFont="1" applyFill="1" applyBorder="1" applyAlignment="1" applyProtection="1">
      <alignment horizontal="center" vertical="center" wrapText="1"/>
    </xf>
    <xf numFmtId="10" fontId="7" fillId="9" borderId="1" xfId="6" applyNumberFormat="1" applyFont="1" applyFill="1" applyBorder="1" applyAlignment="1" applyProtection="1">
      <alignment horizontal="center" vertical="center" wrapText="1"/>
    </xf>
    <xf numFmtId="0" fontId="7" fillId="9" borderId="1" xfId="6" applyFont="1" applyFill="1" applyBorder="1" applyAlignment="1" applyProtection="1">
      <alignment horizontal="center" vertical="center" wrapText="1"/>
    </xf>
    <xf numFmtId="0" fontId="4" fillId="9" borderId="1" xfId="6" applyFont="1" applyFill="1" applyBorder="1" applyAlignment="1" applyProtection="1">
      <alignment horizontal="center" vertical="center" wrapText="1"/>
    </xf>
    <xf numFmtId="0" fontId="4" fillId="9" borderId="4" xfId="6" applyFont="1" applyFill="1" applyBorder="1" applyAlignment="1" applyProtection="1">
      <alignment horizontal="center" vertical="center" wrapText="1"/>
    </xf>
    <xf numFmtId="0" fontId="20" fillId="0" borderId="0" xfId="0" applyFont="1" applyAlignment="1">
      <alignment horizontal="center" vertical="center"/>
    </xf>
    <xf numFmtId="0" fontId="20" fillId="0" borderId="2" xfId="0" applyFont="1" applyBorder="1" applyAlignment="1">
      <alignment horizontal="center" vertical="center" wrapText="1"/>
    </xf>
  </cellXfs>
  <cellStyles count="13">
    <cellStyle name="20% - Accent4 2" xfId="2" xr:uid="{00000000-0005-0000-0000-000006000000}"/>
    <cellStyle name="Excel Built-in 20% - Accent4" xfId="12" xr:uid="{00000000-0005-0000-0000-000013000000}"/>
    <cellStyle name="Excel Built-in Accent3" xfId="8" xr:uid="{00000000-0005-0000-0000-00000F000000}"/>
    <cellStyle name="Excel Built-in Accent4" xfId="6" xr:uid="{00000000-0005-0000-0000-00000D000000}"/>
    <cellStyle name="Excel Built-in Accent6" xfId="10" xr:uid="{00000000-0005-0000-0000-000011000000}"/>
    <cellStyle name="Excel Built-in Bad" xfId="11" xr:uid="{00000000-0005-0000-0000-000012000000}"/>
    <cellStyle name="Excel Built-in Good" xfId="7" xr:uid="{00000000-0005-0000-0000-00000E000000}"/>
    <cellStyle name="Excel Built-in Neutral" xfId="9" xr:uid="{00000000-0005-0000-0000-000010000000}"/>
    <cellStyle name="Hyperlink" xfId="1" builtinId="8"/>
    <cellStyle name="Normal" xfId="0" builtinId="0"/>
    <cellStyle name="Normal 2" xfId="3" xr:uid="{00000000-0005-0000-0000-000007000000}"/>
    <cellStyle name="Normal 3 2" xfId="4" xr:uid="{00000000-0005-0000-0000-000008000000}"/>
    <cellStyle name="Normal_NRA_Acceptance Sheet" xfId="5" xr:uid="{00000000-0005-0000-0000-000009000000}"/>
  </cellStyles>
  <dxfs count="140">
    <dxf>
      <font>
        <color rgb="FF006100"/>
      </font>
      <fill>
        <patternFill>
          <bgColor rgb="FFC6EFCE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9C0006"/>
      </font>
      <fill>
        <patternFill>
          <bgColor rgb="FFFFC7CE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D8BFEB"/>
      </font>
      <fill>
        <patternFill>
          <bgColor rgb="FF8064A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C3DFF9"/>
      </font>
      <fill>
        <patternFill>
          <bgColor rgb="FF4F81BD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363636"/>
      </font>
      <fill>
        <patternFill>
          <bgColor rgb="FFF2F2F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006100"/>
      </font>
      <fill>
        <patternFill>
          <bgColor rgb="FFC6EFCE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9C0006"/>
      </font>
      <fill>
        <patternFill>
          <bgColor rgb="FFFFC7CE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D8BFEB"/>
      </font>
      <fill>
        <patternFill>
          <bgColor rgb="FF8064A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C3DFF9"/>
      </font>
      <fill>
        <patternFill>
          <bgColor rgb="FF4F81BD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363636"/>
      </font>
      <fill>
        <patternFill>
          <bgColor rgb="FFF2F2F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006100"/>
      </font>
      <fill>
        <patternFill>
          <bgColor rgb="FFC6EFCE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9C0006"/>
      </font>
      <fill>
        <patternFill>
          <bgColor rgb="FFFFC7CE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D8BFEB"/>
      </font>
      <fill>
        <patternFill>
          <bgColor rgb="FF8064A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C3DFF9"/>
      </font>
      <fill>
        <patternFill>
          <bgColor rgb="FF4F81BD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363636"/>
      </font>
      <fill>
        <patternFill>
          <bgColor rgb="FFF2F2F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006100"/>
      </font>
      <fill>
        <patternFill>
          <bgColor rgb="FFC6EFCE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9C0006"/>
      </font>
      <fill>
        <patternFill>
          <bgColor rgb="FFFFC7CE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D8BFEB"/>
      </font>
      <fill>
        <patternFill>
          <bgColor rgb="FF8064A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C3DFF9"/>
      </font>
      <fill>
        <patternFill>
          <bgColor rgb="FF4F81BD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363636"/>
      </font>
      <fill>
        <patternFill>
          <bgColor rgb="FFF2F2F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006100"/>
      </font>
      <fill>
        <patternFill>
          <bgColor rgb="FF9BBB5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625B38"/>
      </font>
      <fill>
        <patternFill>
          <bgColor rgb="FFFFFFCC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1E3E20"/>
      </font>
      <fill>
        <patternFill>
          <bgColor rgb="FF8AC181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963634"/>
      </font>
      <fill>
        <patternFill>
          <bgColor rgb="FFDA9694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FFFFFF"/>
      </font>
      <fill>
        <patternFill>
          <bgColor rgb="FF963634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FFFFFF"/>
      </font>
      <fill>
        <patternFill>
          <bgColor rgb="FF632523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363600"/>
      </font>
      <fill>
        <patternFill>
          <bgColor rgb="FFF2F2F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C3DFF9"/>
      </font>
      <fill>
        <patternFill>
          <bgColor rgb="FF4F81BD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color rgb="FFD8BFEB"/>
      </font>
      <fill>
        <patternFill>
          <bgColor rgb="FF8064A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9BBB5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625B38"/>
      </font>
      <fill>
        <patternFill>
          <bgColor rgb="FFFFFFCC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1E3E20"/>
      </font>
      <fill>
        <patternFill>
          <bgColor rgb="FF8AC181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963634"/>
      </font>
      <fill>
        <patternFill>
          <bgColor rgb="FFDA9694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FFFFFF"/>
      </font>
      <fill>
        <patternFill>
          <bgColor rgb="FF963634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FFFFFF"/>
      </font>
      <fill>
        <patternFill>
          <bgColor rgb="FF632523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363600"/>
      </font>
      <fill>
        <patternFill>
          <bgColor rgb="FFF2F2F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C3DFF9"/>
      </font>
      <fill>
        <patternFill>
          <bgColor rgb="FF4F81BD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color rgb="FFD8BFEB"/>
      </font>
      <fill>
        <patternFill>
          <bgColor rgb="FF8064A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9C0006"/>
      </font>
      <fill>
        <patternFill>
          <bgColor rgb="FFFFC7CE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D8BFEB"/>
      </font>
      <fill>
        <patternFill>
          <bgColor rgb="FF8064A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C3DFF9"/>
      </font>
      <fill>
        <patternFill>
          <bgColor rgb="FF4F81BD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363636"/>
      </font>
      <fill>
        <patternFill>
          <bgColor rgb="FFF2F2F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006100"/>
      </font>
      <fill>
        <patternFill>
          <bgColor rgb="FF9BBB5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625B38"/>
      </font>
      <fill>
        <patternFill>
          <bgColor rgb="FFFFFFCC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1E3E20"/>
      </font>
      <fill>
        <patternFill>
          <bgColor rgb="FF8AC181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963634"/>
      </font>
      <fill>
        <patternFill>
          <bgColor rgb="FFDA9694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FFFFFF"/>
      </font>
      <fill>
        <patternFill>
          <bgColor rgb="FF963634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FFFFFF"/>
      </font>
      <fill>
        <patternFill>
          <bgColor rgb="FF632523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363600"/>
      </font>
      <fill>
        <patternFill>
          <bgColor rgb="FFF2F2F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C3DFF9"/>
      </font>
      <fill>
        <patternFill>
          <bgColor rgb="FF4F81BD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color rgb="FFD8BFEB"/>
      </font>
      <fill>
        <patternFill>
          <bgColor rgb="FF8064A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9BBB5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625B38"/>
      </font>
      <fill>
        <patternFill>
          <bgColor rgb="FFFFFFCC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1E3E20"/>
      </font>
      <fill>
        <patternFill>
          <bgColor rgb="FF8AC181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963634"/>
      </font>
      <fill>
        <patternFill>
          <bgColor rgb="FFDA9694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FFFFFF"/>
      </font>
      <fill>
        <patternFill>
          <bgColor rgb="FF963634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FFFFFF"/>
      </font>
      <fill>
        <patternFill>
          <bgColor rgb="FF632523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363600"/>
      </font>
      <fill>
        <patternFill>
          <bgColor rgb="FFF2F2F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C3DFF9"/>
      </font>
      <fill>
        <patternFill>
          <bgColor rgb="FF4F81BD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color rgb="FFD8BFEB"/>
      </font>
      <fill>
        <patternFill>
          <bgColor rgb="FF8064A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9C0006"/>
      </font>
      <fill>
        <patternFill>
          <bgColor rgb="FFFFC7CE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D8BFEB"/>
      </font>
      <fill>
        <patternFill>
          <bgColor rgb="FF8064A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C3DFF9"/>
      </font>
      <fill>
        <patternFill>
          <bgColor rgb="FF4F81BD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363636"/>
      </font>
      <fill>
        <patternFill>
          <bgColor rgb="FFF2F2F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006100"/>
      </font>
      <fill>
        <patternFill>
          <bgColor rgb="FF9BBB5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625B38"/>
      </font>
      <fill>
        <patternFill>
          <bgColor rgb="FFFFFFCC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1E3E20"/>
      </font>
      <fill>
        <patternFill>
          <bgColor rgb="FF8AC181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963634"/>
      </font>
      <fill>
        <patternFill>
          <bgColor rgb="FFDA9694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FFFFFF"/>
      </font>
      <fill>
        <patternFill>
          <bgColor rgb="FF963634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FFFFFF"/>
      </font>
      <fill>
        <patternFill>
          <bgColor rgb="FF632523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363600"/>
      </font>
      <fill>
        <patternFill>
          <bgColor rgb="FFF2F2F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C3DFF9"/>
      </font>
      <fill>
        <patternFill>
          <bgColor rgb="FF4F81BD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color rgb="FFD8BFEB"/>
      </font>
      <fill>
        <patternFill>
          <bgColor rgb="FF8064A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9BBB5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625B38"/>
      </font>
      <fill>
        <patternFill>
          <bgColor rgb="FFFFFFCC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1E3E20"/>
      </font>
      <fill>
        <patternFill>
          <bgColor rgb="FF8AC181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963634"/>
      </font>
      <fill>
        <patternFill>
          <bgColor rgb="FFDA9694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FFFFFF"/>
      </font>
      <fill>
        <patternFill>
          <bgColor rgb="FF963634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FFFFFF"/>
      </font>
      <fill>
        <patternFill>
          <bgColor rgb="FF632523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363600"/>
      </font>
      <fill>
        <patternFill>
          <bgColor rgb="FFF2F2F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C3DFF9"/>
      </font>
      <fill>
        <patternFill>
          <bgColor rgb="FF4F81BD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color rgb="FFD8BFEB"/>
      </font>
      <fill>
        <patternFill>
          <bgColor rgb="FF8064A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9BBB5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625B38"/>
      </font>
      <fill>
        <patternFill>
          <bgColor rgb="FFFFFFCC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1E3E20"/>
      </font>
      <fill>
        <patternFill>
          <bgColor rgb="FF8AC181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963634"/>
      </font>
      <fill>
        <patternFill>
          <bgColor rgb="FFDA9694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FFFFFF"/>
      </font>
      <fill>
        <patternFill>
          <bgColor rgb="FF963634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FFFFFF"/>
      </font>
      <fill>
        <patternFill>
          <bgColor rgb="FF632523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363600"/>
      </font>
      <fill>
        <patternFill>
          <bgColor rgb="FFF2F2F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C3DFF9"/>
      </font>
      <fill>
        <patternFill>
          <bgColor rgb="FF4F81BD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color rgb="FFD8BFEB"/>
      </font>
      <fill>
        <patternFill>
          <bgColor rgb="FF8064A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9BBB5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625B38"/>
      </font>
      <fill>
        <patternFill>
          <bgColor rgb="FFFFFFCC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1E3E20"/>
      </font>
      <fill>
        <patternFill>
          <bgColor rgb="FF8AC181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963634"/>
      </font>
      <fill>
        <patternFill>
          <bgColor rgb="FFDA9694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FFFFFF"/>
      </font>
      <fill>
        <patternFill>
          <bgColor rgb="FF963634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FFFFFF"/>
      </font>
      <fill>
        <patternFill>
          <bgColor rgb="FF632523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363600"/>
      </font>
      <fill>
        <patternFill>
          <bgColor rgb="FFF2F2F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C3DFF9"/>
      </font>
      <fill>
        <patternFill>
          <bgColor rgb="FF4F81BD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color rgb="FFD8BFEB"/>
      </font>
      <fill>
        <patternFill>
          <bgColor rgb="FF8064A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9BBB5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625B38"/>
      </font>
      <fill>
        <patternFill>
          <bgColor rgb="FFFFFFCC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1E3E20"/>
      </font>
      <fill>
        <patternFill>
          <bgColor rgb="FF8AC181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963634"/>
      </font>
      <fill>
        <patternFill>
          <bgColor rgb="FFDA9694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FFFFFF"/>
      </font>
      <fill>
        <patternFill>
          <bgColor rgb="FF963634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FFFFFF"/>
      </font>
      <fill>
        <patternFill>
          <bgColor rgb="FF632523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363600"/>
      </font>
      <fill>
        <patternFill>
          <bgColor rgb="FFF2F2F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C3DFF9"/>
      </font>
      <fill>
        <patternFill>
          <bgColor rgb="FF4F81BD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color rgb="FFD8BFEB"/>
      </font>
      <fill>
        <patternFill>
          <bgColor rgb="FF8064A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9C0006"/>
      </font>
      <fill>
        <patternFill>
          <bgColor rgb="FFFFC7CE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D8BFEB"/>
      </font>
      <fill>
        <patternFill>
          <bgColor rgb="FF8064A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C3DFF9"/>
      </font>
      <fill>
        <patternFill>
          <bgColor rgb="FF4F81BD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363636"/>
      </font>
      <fill>
        <patternFill>
          <bgColor rgb="FFF2F2F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006100"/>
      </font>
      <fill>
        <patternFill>
          <bgColor rgb="FFC6EFCE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9C0006"/>
      </font>
      <fill>
        <patternFill>
          <bgColor rgb="FFFFC7CE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D8BFEB"/>
      </font>
      <fill>
        <patternFill>
          <bgColor rgb="FF8064A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C3DFF9"/>
      </font>
      <fill>
        <patternFill>
          <bgColor rgb="FF4F81BD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363636"/>
      </font>
      <fill>
        <patternFill>
          <bgColor rgb="FFF2F2F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006100"/>
      </font>
      <fill>
        <patternFill>
          <bgColor rgb="FF9BBB5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625B38"/>
      </font>
      <fill>
        <patternFill>
          <bgColor rgb="FFFFFFCC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1E3E20"/>
      </font>
      <fill>
        <patternFill>
          <bgColor rgb="FF8AC181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963634"/>
      </font>
      <fill>
        <patternFill>
          <bgColor rgb="FFDA9694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FFFFFF"/>
      </font>
      <fill>
        <patternFill>
          <bgColor rgb="FF963634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FFFFFF"/>
      </font>
      <fill>
        <patternFill>
          <bgColor rgb="FF632523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363600"/>
      </font>
      <fill>
        <patternFill>
          <bgColor rgb="FFF2F2F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C3DFF9"/>
      </font>
      <fill>
        <patternFill>
          <bgColor rgb="FF4F81BD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color rgb="FFD8BFEB"/>
      </font>
      <fill>
        <patternFill>
          <bgColor rgb="FF8064A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00000"/>
      <rgbColor rgb="FF00FFFF"/>
      <rgbColor rgb="FF9C0006"/>
      <rgbColor rgb="FF006100"/>
      <rgbColor rgb="FF000080"/>
      <rgbColor rgb="FF9C6500"/>
      <rgbColor rgb="FFC00000"/>
      <rgbColor rgb="FF4F81BD"/>
      <rgbColor rgb="FFE6E0EC"/>
      <rgbColor rgb="FF808080"/>
      <rgbColor rgb="FF7CACBC"/>
      <rgbColor rgb="FF963634"/>
      <rgbColor rgb="FFFFFFCC"/>
      <rgbColor rgb="FFF2F2F2"/>
      <rgbColor rgb="FF625B38"/>
      <rgbColor rgb="FFF79646"/>
      <rgbColor rgb="FF595959"/>
      <rgbColor rgb="FFD8BFEB"/>
      <rgbColor rgb="FF000080"/>
      <rgbColor rgb="FFFF00FF"/>
      <rgbColor rgb="FFFFF019"/>
      <rgbColor rgb="FF00FFFF"/>
      <rgbColor rgb="FFC9211E"/>
      <rgbColor rgb="FF632523"/>
      <rgbColor rgb="FF4D5361"/>
      <rgbColor rgb="FF0000FF"/>
      <rgbColor rgb="FF00CCFF"/>
      <rgbColor rgb="FFC3DFF9"/>
      <rgbColor rgb="FFC6EFCE"/>
      <rgbColor rgb="FFFFEB9C"/>
      <rgbColor rgb="FF8AC181"/>
      <rgbColor rgb="FFDA9694"/>
      <rgbColor rgb="FF865600"/>
      <rgbColor rgb="FFFFC7CE"/>
      <rgbColor rgb="FF4A7EBB"/>
      <rgbColor rgb="FF33C533"/>
      <rgbColor rgb="FF9BBB59"/>
      <rgbColor rgb="FFFFC800"/>
      <rgbColor rgb="FFFF8C00"/>
      <rgbColor rgb="FF984807"/>
      <rgbColor rgb="FF8064A2"/>
      <rgbColor rgb="FF878787"/>
      <rgbColor rgb="FF363636"/>
      <rgbColor rgb="FF437381"/>
      <rgbColor rgb="FF1E3E20"/>
      <rgbColor rgb="FF363600"/>
      <rgbColor rgb="FF974706"/>
      <rgbColor rgb="FFBE4B48"/>
      <rgbColor rgb="FF404040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2</xdr:col>
      <xdr:colOff>3384550</xdr:colOff>
      <xdr:row>26</xdr:row>
      <xdr:rowOff>0</xdr:rowOff>
    </xdr:to>
    <xdr:sp macro="" textlink="">
      <xdr:nvSpPr>
        <xdr:cNvPr id="3082" name="_x0000_t202" hidden="1">
          <a:extLst>
            <a:ext uri="{FF2B5EF4-FFF2-40B4-BE49-F238E27FC236}">
              <a16:creationId xmlns:a16="http://schemas.microsoft.com/office/drawing/2014/main" id="{38CC634C-D3AE-94E0-287D-9F390A3DBFE3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6350000" cy="635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6</xdr:row>
      <xdr:rowOff>0</xdr:rowOff>
    </xdr:from>
    <xdr:to>
      <xdr:col>2</xdr:col>
      <xdr:colOff>3384550</xdr:colOff>
      <xdr:row>26</xdr:row>
      <xdr:rowOff>0</xdr:rowOff>
    </xdr:to>
    <xdr:sp macro="" textlink="">
      <xdr:nvSpPr>
        <xdr:cNvPr id="3080" name="_x0000_t202" hidden="1">
          <a:extLst>
            <a:ext uri="{FF2B5EF4-FFF2-40B4-BE49-F238E27FC236}">
              <a16:creationId xmlns:a16="http://schemas.microsoft.com/office/drawing/2014/main" id="{3ACE64B1-4A11-F48E-EC27-201E90A3889C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6350000" cy="635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6</xdr:row>
      <xdr:rowOff>0</xdr:rowOff>
    </xdr:from>
    <xdr:to>
      <xdr:col>2</xdr:col>
      <xdr:colOff>3384550</xdr:colOff>
      <xdr:row>26</xdr:row>
      <xdr:rowOff>0</xdr:rowOff>
    </xdr:to>
    <xdr:sp macro="" textlink="">
      <xdr:nvSpPr>
        <xdr:cNvPr id="3078" name="_x0000_t202" hidden="1">
          <a:extLst>
            <a:ext uri="{FF2B5EF4-FFF2-40B4-BE49-F238E27FC236}">
              <a16:creationId xmlns:a16="http://schemas.microsoft.com/office/drawing/2014/main" id="{62F529A7-21AE-CB2E-3DF1-B5AA2D09ACD3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6350000" cy="635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6</xdr:row>
      <xdr:rowOff>0</xdr:rowOff>
    </xdr:from>
    <xdr:to>
      <xdr:col>2</xdr:col>
      <xdr:colOff>3384550</xdr:colOff>
      <xdr:row>26</xdr:row>
      <xdr:rowOff>0</xdr:rowOff>
    </xdr:to>
    <xdr:sp macro="" textlink="">
      <xdr:nvSpPr>
        <xdr:cNvPr id="3076" name="_x0000_t202" hidden="1">
          <a:extLst>
            <a:ext uri="{FF2B5EF4-FFF2-40B4-BE49-F238E27FC236}">
              <a16:creationId xmlns:a16="http://schemas.microsoft.com/office/drawing/2014/main" id="{871AFA67-44A7-10B1-8E07-8CC85937B50E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6350000" cy="635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6</xdr:row>
      <xdr:rowOff>0</xdr:rowOff>
    </xdr:from>
    <xdr:to>
      <xdr:col>2</xdr:col>
      <xdr:colOff>3384550</xdr:colOff>
      <xdr:row>26</xdr:row>
      <xdr:rowOff>0</xdr:rowOff>
    </xdr:to>
    <xdr:sp macro="" textlink="">
      <xdr:nvSpPr>
        <xdr:cNvPr id="3074" name="_x0000_t202" hidden="1">
          <a:extLst>
            <a:ext uri="{FF2B5EF4-FFF2-40B4-BE49-F238E27FC236}">
              <a16:creationId xmlns:a16="http://schemas.microsoft.com/office/drawing/2014/main" id="{7D3873BA-17CB-CA68-CF45-723FCDB33EDD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6350000" cy="635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MJ142"/>
  <sheetViews>
    <sheetView tabSelected="1" zoomScaleNormal="100" workbookViewId="0">
      <pane xSplit="4" ySplit="21" topLeftCell="E133" activePane="bottomRight" state="frozen"/>
      <selection pane="topRight" activeCell="F1" sqref="F1"/>
      <selection pane="bottomLeft" activeCell="A22" sqref="A22"/>
      <selection pane="bottomRight" activeCell="B90" sqref="B90:B91"/>
    </sheetView>
  </sheetViews>
  <sheetFormatPr defaultRowHeight="12.75" outlineLevelRow="1" outlineLevelCol="1" x14ac:dyDescent="0.2"/>
  <cols>
    <col min="1" max="1" width="17.7109375" style="4" customWidth="1" outlineLevel="1"/>
    <col min="2" max="2" width="24.7109375" style="4" customWidth="1"/>
    <col min="3" max="3" width="70.140625" style="7" customWidth="1"/>
    <col min="4" max="4" width="47.140625" style="4" customWidth="1"/>
    <col min="5" max="5" width="16.7109375" style="4" customWidth="1"/>
    <col min="6" max="7" width="16.7109375" style="4" customWidth="1" outlineLevel="1"/>
    <col min="8" max="8" width="23.85546875" style="4" customWidth="1" outlineLevel="1"/>
    <col min="9" max="9" width="9.140625" style="4" customWidth="1"/>
    <col min="10" max="1023" width="9.140625" style="2" customWidth="1"/>
    <col min="1024" max="1025" width="9.140625" customWidth="1"/>
  </cols>
  <sheetData>
    <row r="1" spans="1:8" ht="12" hidden="1" customHeight="1" x14ac:dyDescent="0.2">
      <c r="A1" s="20" t="s">
        <v>18</v>
      </c>
      <c r="B1" s="20"/>
      <c r="C1" s="20" t="s">
        <v>19</v>
      </c>
      <c r="D1" s="1" t="s">
        <v>15</v>
      </c>
      <c r="E1" s="21" t="s">
        <v>20</v>
      </c>
      <c r="F1" s="21"/>
      <c r="G1" s="21"/>
      <c r="H1" s="21"/>
    </row>
    <row r="2" spans="1:8" ht="12" hidden="1" customHeight="1" x14ac:dyDescent="0.2">
      <c r="A2" s="20"/>
      <c r="B2" s="20"/>
      <c r="C2" s="20"/>
      <c r="D2" s="1" t="s">
        <v>0</v>
      </c>
      <c r="E2" s="21" t="s">
        <v>1</v>
      </c>
      <c r="F2" s="21"/>
      <c r="G2" s="21"/>
      <c r="H2" s="21"/>
    </row>
    <row r="3" spans="1:8" ht="12" hidden="1" customHeight="1" x14ac:dyDescent="0.2">
      <c r="A3" s="20"/>
      <c r="B3" s="20"/>
      <c r="C3" s="20"/>
      <c r="D3" s="1" t="s">
        <v>2</v>
      </c>
      <c r="E3" s="22">
        <v>41348</v>
      </c>
      <c r="F3" s="22"/>
      <c r="G3" s="22"/>
      <c r="H3" s="22"/>
    </row>
    <row r="4" spans="1:8" ht="12" hidden="1" customHeight="1" x14ac:dyDescent="0.2">
      <c r="A4" s="20"/>
      <c r="B4" s="20"/>
      <c r="C4" s="20"/>
      <c r="D4" s="1" t="s">
        <v>3</v>
      </c>
      <c r="E4" s="21" t="s">
        <v>16</v>
      </c>
      <c r="F4" s="21"/>
      <c r="G4" s="21"/>
      <c r="H4" s="21"/>
    </row>
    <row r="5" spans="1:8" ht="12" hidden="1" customHeight="1" x14ac:dyDescent="0.2">
      <c r="A5" s="20"/>
      <c r="B5" s="20"/>
      <c r="C5" s="20"/>
      <c r="D5" s="1" t="s">
        <v>21</v>
      </c>
      <c r="E5" s="21" t="s">
        <v>22</v>
      </c>
      <c r="F5" s="21"/>
      <c r="G5" s="21"/>
      <c r="H5" s="21"/>
    </row>
    <row r="6" spans="1:8" ht="12" hidden="1" customHeight="1" x14ac:dyDescent="0.2">
      <c r="A6" s="20"/>
      <c r="B6" s="20"/>
      <c r="C6" s="20"/>
      <c r="D6" s="1" t="s">
        <v>23</v>
      </c>
      <c r="E6" s="21" t="s">
        <v>24</v>
      </c>
      <c r="F6" s="21"/>
      <c r="G6" s="21"/>
      <c r="H6" s="21"/>
    </row>
    <row r="7" spans="1:8" ht="12" customHeight="1" x14ac:dyDescent="0.2">
      <c r="A7" s="20"/>
      <c r="B7" s="20"/>
      <c r="C7" s="20"/>
      <c r="D7" s="1" t="s">
        <v>4</v>
      </c>
      <c r="E7" s="23" t="s">
        <v>17</v>
      </c>
      <c r="F7" s="23"/>
      <c r="G7" s="23"/>
      <c r="H7" s="23"/>
    </row>
    <row r="8" spans="1:8" ht="12.75" customHeight="1" outlineLevel="1" x14ac:dyDescent="0.2">
      <c r="A8" s="20"/>
      <c r="B8" s="20"/>
      <c r="C8" s="20"/>
      <c r="D8" s="8"/>
      <c r="E8" s="20" t="s">
        <v>25</v>
      </c>
      <c r="F8" s="20"/>
      <c r="G8" s="20"/>
      <c r="H8" s="20"/>
    </row>
    <row r="9" spans="1:8" ht="12" customHeight="1" outlineLevel="1" x14ac:dyDescent="0.2">
      <c r="A9" s="27" t="s">
        <v>38</v>
      </c>
      <c r="B9" s="27"/>
      <c r="C9" s="28" t="s">
        <v>48</v>
      </c>
      <c r="D9" s="9" t="s">
        <v>26</v>
      </c>
      <c r="E9" s="26">
        <f>SUM(E10:F19)</f>
        <v>116</v>
      </c>
      <c r="F9" s="26"/>
      <c r="G9" s="25">
        <v>1</v>
      </c>
      <c r="H9" s="25"/>
    </row>
    <row r="10" spans="1:8" ht="12" customHeight="1" outlineLevel="1" x14ac:dyDescent="0.2">
      <c r="A10" s="27"/>
      <c r="B10" s="27"/>
      <c r="C10" s="28"/>
      <c r="D10" s="3" t="s">
        <v>10</v>
      </c>
      <c r="E10" s="24">
        <f>COUNTIF(E22:E252,"OK")</f>
        <v>87</v>
      </c>
      <c r="F10" s="24"/>
      <c r="G10" s="25"/>
      <c r="H10" s="25"/>
    </row>
    <row r="11" spans="1:8" ht="12" customHeight="1" outlineLevel="1" x14ac:dyDescent="0.2">
      <c r="A11" s="27"/>
      <c r="B11" s="27"/>
      <c r="C11" s="28"/>
      <c r="D11" s="3" t="s">
        <v>11</v>
      </c>
      <c r="E11" s="24">
        <f>COUNTIF(E22:E252,"Partially tested")</f>
        <v>0</v>
      </c>
      <c r="F11" s="24"/>
      <c r="G11" s="25"/>
      <c r="H11" s="25"/>
    </row>
    <row r="12" spans="1:8" ht="12" customHeight="1" outlineLevel="1" x14ac:dyDescent="0.2">
      <c r="A12" s="27"/>
      <c r="B12" s="27"/>
      <c r="C12" s="28"/>
      <c r="D12" s="3" t="s">
        <v>9</v>
      </c>
      <c r="E12" s="24">
        <f>COUNTIF(E22:E252,"Enhancement")</f>
        <v>0</v>
      </c>
      <c r="F12" s="24"/>
      <c r="G12" s="25"/>
      <c r="H12" s="25"/>
    </row>
    <row r="13" spans="1:8" ht="12" customHeight="1" outlineLevel="1" x14ac:dyDescent="0.2">
      <c r="A13" s="27"/>
      <c r="B13" s="27"/>
      <c r="C13" s="28"/>
      <c r="D13" s="3" t="s">
        <v>8</v>
      </c>
      <c r="E13" s="24">
        <f>COUNTIF(E22:E252,"Minor")</f>
        <v>14</v>
      </c>
      <c r="F13" s="24"/>
      <c r="G13" s="25"/>
      <c r="H13" s="25"/>
    </row>
    <row r="14" spans="1:8" ht="12" customHeight="1" outlineLevel="1" x14ac:dyDescent="0.2">
      <c r="A14" s="27"/>
      <c r="B14" s="27"/>
      <c r="C14" s="28"/>
      <c r="D14" s="3" t="s">
        <v>7</v>
      </c>
      <c r="E14" s="24">
        <f>COUNTIF(E22:E252,"Average")</f>
        <v>6</v>
      </c>
      <c r="F14" s="24"/>
      <c r="G14" s="25"/>
      <c r="H14" s="25"/>
    </row>
    <row r="15" spans="1:8" ht="12" customHeight="1" outlineLevel="1" x14ac:dyDescent="0.2">
      <c r="A15" s="27"/>
      <c r="B15" s="27"/>
      <c r="C15" s="28"/>
      <c r="D15" s="3" t="s">
        <v>6</v>
      </c>
      <c r="E15" s="24">
        <f>COUNTIF(E22:E252,"Major")</f>
        <v>5</v>
      </c>
      <c r="F15" s="24"/>
      <c r="G15" s="25">
        <f>E15/E9</f>
        <v>4.3103448275862072E-2</v>
      </c>
      <c r="H15" s="25"/>
    </row>
    <row r="16" spans="1:8" ht="12" customHeight="1" outlineLevel="1" x14ac:dyDescent="0.2">
      <c r="A16" s="27"/>
      <c r="B16" s="27"/>
      <c r="C16" s="28"/>
      <c r="D16" s="3" t="s">
        <v>5</v>
      </c>
      <c r="E16" s="24">
        <f>COUNTIF(E22:E252,"Critical")</f>
        <v>4</v>
      </c>
      <c r="F16" s="24"/>
      <c r="G16" s="25">
        <f>E16/E9</f>
        <v>3.4482758620689655E-2</v>
      </c>
      <c r="H16" s="25"/>
    </row>
    <row r="17" spans="1:1024" ht="12" customHeight="1" outlineLevel="1" x14ac:dyDescent="0.2">
      <c r="A17" s="27"/>
      <c r="B17" s="27"/>
      <c r="C17" s="28"/>
      <c r="D17" s="3" t="s">
        <v>12</v>
      </c>
      <c r="E17" s="24">
        <f>COUNTIF(E22:E252,"Not available")</f>
        <v>0</v>
      </c>
      <c r="F17" s="24"/>
      <c r="G17" s="25">
        <f>E17/E9</f>
        <v>0</v>
      </c>
      <c r="H17" s="25"/>
    </row>
    <row r="18" spans="1:1024" ht="12" customHeight="1" outlineLevel="1" x14ac:dyDescent="0.2">
      <c r="A18" s="27"/>
      <c r="B18" s="27"/>
      <c r="C18" s="28"/>
      <c r="D18" s="3" t="s">
        <v>13</v>
      </c>
      <c r="E18" s="24">
        <f>COUNTIF(E22:E252,"Not implemented")</f>
        <v>0</v>
      </c>
      <c r="F18" s="24"/>
      <c r="G18" s="25"/>
      <c r="H18" s="25"/>
    </row>
    <row r="19" spans="1:1024" ht="12" customHeight="1" outlineLevel="1" x14ac:dyDescent="0.2">
      <c r="A19" s="27"/>
      <c r="B19" s="27"/>
      <c r="C19" s="28"/>
      <c r="D19" s="3" t="s">
        <v>14</v>
      </c>
      <c r="E19" s="24">
        <f>COUNTIF(E22:E252,"Not tested")</f>
        <v>0</v>
      </c>
      <c r="F19" s="24"/>
      <c r="G19" s="25"/>
      <c r="H19" s="25"/>
    </row>
    <row r="20" spans="1:1024" ht="12" customHeight="1" outlineLevel="1" x14ac:dyDescent="0.2">
      <c r="A20" s="27"/>
      <c r="B20" s="27"/>
      <c r="C20" s="28"/>
      <c r="D20" s="10" t="s">
        <v>27</v>
      </c>
      <c r="E20" s="26">
        <f>ROUND(SUM(H22:H22,)/60, 2)</f>
        <v>0.08</v>
      </c>
      <c r="F20" s="26"/>
      <c r="G20" s="25"/>
      <c r="H20" s="25"/>
    </row>
    <row r="21" spans="1:1024" s="14" customFormat="1" ht="28.5" customHeight="1" x14ac:dyDescent="0.2">
      <c r="A21" s="11" t="s">
        <v>28</v>
      </c>
      <c r="B21" s="11" t="s">
        <v>29</v>
      </c>
      <c r="C21" s="11" t="s">
        <v>30</v>
      </c>
      <c r="D21" s="11" t="s">
        <v>31</v>
      </c>
      <c r="E21" s="11" t="s">
        <v>32</v>
      </c>
      <c r="F21" s="11" t="s">
        <v>33</v>
      </c>
      <c r="G21" s="11" t="s">
        <v>3</v>
      </c>
      <c r="H21" s="12" t="s">
        <v>34</v>
      </c>
      <c r="I21" s="13"/>
      <c r="AMJ21"/>
    </row>
    <row r="22" spans="1:1024" ht="12" customHeight="1" x14ac:dyDescent="0.2">
      <c r="A22" s="6" t="s">
        <v>36</v>
      </c>
      <c r="B22" s="30" t="s">
        <v>146</v>
      </c>
      <c r="C22" s="16" t="s">
        <v>39</v>
      </c>
      <c r="D22" s="16" t="s">
        <v>40</v>
      </c>
      <c r="E22" s="3" t="s">
        <v>10</v>
      </c>
      <c r="F22" s="17"/>
      <c r="G22" s="18" t="s">
        <v>41</v>
      </c>
      <c r="H22" s="18">
        <v>5</v>
      </c>
    </row>
    <row r="23" spans="1:1024" s="2" customFormat="1" x14ac:dyDescent="0.2">
      <c r="A23" s="2" t="s">
        <v>43</v>
      </c>
      <c r="B23" s="2" t="s">
        <v>147</v>
      </c>
      <c r="C23" s="5" t="s">
        <v>42</v>
      </c>
      <c r="D23" s="2" t="s">
        <v>44</v>
      </c>
      <c r="E23" s="3" t="s">
        <v>10</v>
      </c>
      <c r="G23" s="18" t="s">
        <v>41</v>
      </c>
      <c r="H23" s="2">
        <v>5</v>
      </c>
      <c r="I23" s="4"/>
      <c r="AMJ23"/>
    </row>
    <row r="24" spans="1:1024" s="2" customFormat="1" x14ac:dyDescent="0.2">
      <c r="B24" s="2" t="s">
        <v>147</v>
      </c>
      <c r="C24" s="5" t="s">
        <v>45</v>
      </c>
      <c r="D24" s="2" t="s">
        <v>46</v>
      </c>
      <c r="E24" s="3" t="s">
        <v>10</v>
      </c>
      <c r="G24" s="18" t="s">
        <v>41</v>
      </c>
      <c r="I24" s="4"/>
      <c r="AMJ24"/>
    </row>
    <row r="25" spans="1:1024" x14ac:dyDescent="0.2">
      <c r="A25" s="15"/>
      <c r="B25" s="15" t="s">
        <v>35</v>
      </c>
      <c r="C25" s="15"/>
      <c r="D25" s="15"/>
      <c r="E25" s="15"/>
      <c r="F25" s="15"/>
      <c r="G25" s="15"/>
      <c r="H25" s="15"/>
    </row>
    <row r="26" spans="1:1024" x14ac:dyDescent="0.2">
      <c r="A26" s="6"/>
      <c r="B26" s="29" t="s">
        <v>47</v>
      </c>
      <c r="C26" s="16" t="s">
        <v>57</v>
      </c>
      <c r="D26" s="4" t="s">
        <v>49</v>
      </c>
      <c r="E26" s="3" t="s">
        <v>10</v>
      </c>
      <c r="F26" s="19"/>
      <c r="G26" s="18" t="s">
        <v>41</v>
      </c>
    </row>
    <row r="27" spans="1:1024" s="2" customFormat="1" x14ac:dyDescent="0.2">
      <c r="A27" s="4"/>
      <c r="B27" s="29" t="s">
        <v>47</v>
      </c>
      <c r="C27" s="16" t="s">
        <v>58</v>
      </c>
      <c r="D27" s="2" t="s">
        <v>50</v>
      </c>
      <c r="E27" s="3" t="s">
        <v>10</v>
      </c>
      <c r="G27" s="18" t="s">
        <v>41</v>
      </c>
      <c r="I27" s="4"/>
      <c r="AMJ27"/>
    </row>
    <row r="28" spans="1:1024" s="2" customFormat="1" x14ac:dyDescent="0.2">
      <c r="A28" s="4"/>
      <c r="B28" s="29" t="s">
        <v>47</v>
      </c>
      <c r="C28" s="16" t="s">
        <v>51</v>
      </c>
      <c r="D28" s="2" t="s">
        <v>138</v>
      </c>
      <c r="E28" s="3" t="s">
        <v>10</v>
      </c>
      <c r="G28" s="18" t="s">
        <v>41</v>
      </c>
      <c r="I28" s="4"/>
      <c r="AMJ28"/>
    </row>
    <row r="29" spans="1:1024" s="2" customFormat="1" x14ac:dyDescent="0.2">
      <c r="A29" s="4"/>
      <c r="B29" s="29" t="s">
        <v>47</v>
      </c>
      <c r="C29" s="16" t="s">
        <v>59</v>
      </c>
      <c r="D29" s="2" t="s">
        <v>52</v>
      </c>
      <c r="E29" s="3" t="s">
        <v>10</v>
      </c>
      <c r="G29" s="18" t="s">
        <v>41</v>
      </c>
      <c r="I29" s="4"/>
      <c r="AMJ29"/>
    </row>
    <row r="30" spans="1:1024" s="2" customFormat="1" x14ac:dyDescent="0.2">
      <c r="A30" s="4"/>
      <c r="B30" s="29" t="s">
        <v>47</v>
      </c>
      <c r="C30" s="16" t="s">
        <v>53</v>
      </c>
      <c r="D30" s="2" t="s">
        <v>54</v>
      </c>
      <c r="E30" s="3" t="s">
        <v>10</v>
      </c>
      <c r="G30" s="18" t="s">
        <v>41</v>
      </c>
      <c r="I30" s="4"/>
      <c r="AMJ30"/>
    </row>
    <row r="31" spans="1:1024" s="2" customFormat="1" x14ac:dyDescent="0.2">
      <c r="A31" s="4"/>
      <c r="B31" s="29" t="s">
        <v>47</v>
      </c>
      <c r="C31" s="16" t="s">
        <v>55</v>
      </c>
      <c r="D31" s="2" t="s">
        <v>56</v>
      </c>
      <c r="E31" s="3" t="s">
        <v>8</v>
      </c>
      <c r="G31" s="18" t="s">
        <v>41</v>
      </c>
      <c r="I31" s="4"/>
      <c r="AMJ31"/>
    </row>
    <row r="32" spans="1:1024" s="2" customFormat="1" x14ac:dyDescent="0.2">
      <c r="A32" s="4"/>
      <c r="B32" s="29" t="s">
        <v>47</v>
      </c>
      <c r="C32" s="16" t="s">
        <v>61</v>
      </c>
      <c r="D32" s="2" t="s">
        <v>60</v>
      </c>
      <c r="E32" s="3" t="s">
        <v>10</v>
      </c>
      <c r="G32" s="18" t="s">
        <v>41</v>
      </c>
      <c r="I32" s="4"/>
      <c r="AMJ32"/>
    </row>
    <row r="33" spans="1:1024" s="2" customFormat="1" x14ac:dyDescent="0.2">
      <c r="A33" s="4"/>
      <c r="B33" s="29" t="s">
        <v>47</v>
      </c>
      <c r="C33" s="16" t="s">
        <v>62</v>
      </c>
      <c r="D33" s="2" t="s">
        <v>63</v>
      </c>
      <c r="E33" s="3" t="s">
        <v>8</v>
      </c>
      <c r="G33" s="18" t="s">
        <v>41</v>
      </c>
      <c r="I33" s="4"/>
      <c r="AMJ33"/>
    </row>
    <row r="34" spans="1:1024" s="2" customFormat="1" x14ac:dyDescent="0.2">
      <c r="A34" s="4"/>
      <c r="B34" s="29" t="s">
        <v>47</v>
      </c>
      <c r="C34" s="16" t="s">
        <v>64</v>
      </c>
      <c r="D34" s="2" t="s">
        <v>65</v>
      </c>
      <c r="E34" s="3" t="s">
        <v>10</v>
      </c>
      <c r="G34" s="18" t="s">
        <v>41</v>
      </c>
      <c r="I34" s="4"/>
      <c r="AMJ34"/>
    </row>
    <row r="35" spans="1:1024" s="2" customFormat="1" x14ac:dyDescent="0.2">
      <c r="A35" s="4"/>
      <c r="B35" s="29" t="s">
        <v>47</v>
      </c>
      <c r="C35" s="16" t="s">
        <v>66</v>
      </c>
      <c r="D35" s="2" t="s">
        <v>67</v>
      </c>
      <c r="E35" s="3" t="s">
        <v>7</v>
      </c>
      <c r="G35" s="18" t="s">
        <v>41</v>
      </c>
      <c r="I35" s="4"/>
      <c r="AMJ35"/>
    </row>
    <row r="36" spans="1:1024" s="2" customFormat="1" x14ac:dyDescent="0.2">
      <c r="A36" s="4"/>
      <c r="B36" s="29" t="s">
        <v>47</v>
      </c>
      <c r="C36" s="16" t="s">
        <v>68</v>
      </c>
      <c r="D36" s="2" t="s">
        <v>69</v>
      </c>
      <c r="E36" s="3" t="s">
        <v>10</v>
      </c>
      <c r="G36" s="18" t="s">
        <v>41</v>
      </c>
      <c r="I36" s="4"/>
      <c r="AMJ36"/>
    </row>
    <row r="37" spans="1:1024" s="2" customFormat="1" x14ac:dyDescent="0.2">
      <c r="A37" s="4"/>
      <c r="B37" s="29" t="s">
        <v>47</v>
      </c>
      <c r="C37" s="16" t="s">
        <v>70</v>
      </c>
      <c r="D37" s="2" t="s">
        <v>71</v>
      </c>
      <c r="E37" s="3" t="s">
        <v>10</v>
      </c>
      <c r="G37" s="18" t="s">
        <v>41</v>
      </c>
      <c r="I37" s="4"/>
      <c r="AMJ37"/>
    </row>
    <row r="38" spans="1:1024" s="2" customFormat="1" x14ac:dyDescent="0.2">
      <c r="A38" s="4"/>
      <c r="B38" s="29" t="s">
        <v>47</v>
      </c>
      <c r="C38" s="16" t="s">
        <v>72</v>
      </c>
      <c r="D38" s="2" t="s">
        <v>73</v>
      </c>
      <c r="E38" s="3" t="s">
        <v>10</v>
      </c>
      <c r="G38" s="18" t="s">
        <v>41</v>
      </c>
      <c r="I38" s="4"/>
      <c r="AMJ38"/>
    </row>
    <row r="39" spans="1:1024" s="2" customFormat="1" x14ac:dyDescent="0.2">
      <c r="A39" s="4"/>
      <c r="B39" s="29" t="s">
        <v>47</v>
      </c>
      <c r="C39" s="16" t="s">
        <v>74</v>
      </c>
      <c r="D39" s="2" t="s">
        <v>75</v>
      </c>
      <c r="E39" s="3" t="s">
        <v>8</v>
      </c>
      <c r="G39" s="18" t="s">
        <v>41</v>
      </c>
      <c r="I39" s="4"/>
      <c r="AMJ39"/>
    </row>
    <row r="40" spans="1:1024" s="2" customFormat="1" x14ac:dyDescent="0.2">
      <c r="A40" s="4"/>
      <c r="B40" s="29" t="s">
        <v>47</v>
      </c>
      <c r="C40" s="16" t="s">
        <v>77</v>
      </c>
      <c r="D40" s="2" t="s">
        <v>76</v>
      </c>
      <c r="E40" s="3" t="s">
        <v>10</v>
      </c>
      <c r="G40" s="18" t="s">
        <v>41</v>
      </c>
      <c r="I40" s="4"/>
      <c r="AMJ40"/>
    </row>
    <row r="41" spans="1:1024" s="2" customFormat="1" x14ac:dyDescent="0.2">
      <c r="A41" s="4"/>
      <c r="B41" s="29" t="s">
        <v>47</v>
      </c>
      <c r="C41" s="16" t="s">
        <v>78</v>
      </c>
      <c r="D41" s="2" t="s">
        <v>79</v>
      </c>
      <c r="E41" s="3" t="s">
        <v>7</v>
      </c>
      <c r="G41" s="18" t="s">
        <v>41</v>
      </c>
      <c r="I41" s="4"/>
      <c r="AMJ41"/>
    </row>
    <row r="42" spans="1:1024" s="2" customFormat="1" x14ac:dyDescent="0.2">
      <c r="A42" s="4"/>
      <c r="B42" s="29" t="s">
        <v>47</v>
      </c>
      <c r="C42" s="16" t="s">
        <v>81</v>
      </c>
      <c r="D42" s="2" t="s">
        <v>80</v>
      </c>
      <c r="E42" s="3" t="s">
        <v>10</v>
      </c>
      <c r="G42" s="18" t="s">
        <v>41</v>
      </c>
      <c r="I42" s="4"/>
      <c r="AMJ42"/>
    </row>
    <row r="43" spans="1:1024" s="2" customFormat="1" x14ac:dyDescent="0.2">
      <c r="A43" s="4"/>
      <c r="B43" s="29" t="s">
        <v>47</v>
      </c>
      <c r="C43" s="16" t="s">
        <v>82</v>
      </c>
      <c r="D43" s="2" t="s">
        <v>83</v>
      </c>
      <c r="E43" s="3" t="s">
        <v>10</v>
      </c>
      <c r="G43" s="18" t="s">
        <v>41</v>
      </c>
      <c r="I43" s="4"/>
      <c r="AMJ43"/>
    </row>
    <row r="44" spans="1:1024" s="2" customFormat="1" x14ac:dyDescent="0.2">
      <c r="A44" s="4"/>
      <c r="B44" s="29" t="s">
        <v>47</v>
      </c>
      <c r="C44" s="16" t="s">
        <v>84</v>
      </c>
      <c r="D44" s="2" t="s">
        <v>85</v>
      </c>
      <c r="E44" s="3" t="s">
        <v>8</v>
      </c>
      <c r="G44" s="18" t="s">
        <v>41</v>
      </c>
      <c r="I44" s="4"/>
      <c r="AMJ44"/>
    </row>
    <row r="45" spans="1:1024" s="2" customFormat="1" x14ac:dyDescent="0.2">
      <c r="A45" s="4"/>
      <c r="B45" s="29" t="s">
        <v>47</v>
      </c>
      <c r="C45" s="16" t="s">
        <v>86</v>
      </c>
      <c r="D45" s="2" t="s">
        <v>87</v>
      </c>
      <c r="E45" s="3" t="s">
        <v>8</v>
      </c>
      <c r="G45" s="18" t="s">
        <v>41</v>
      </c>
      <c r="I45" s="4"/>
      <c r="AMJ45"/>
    </row>
    <row r="46" spans="1:1024" s="2" customFormat="1" x14ac:dyDescent="0.2">
      <c r="A46" s="4"/>
      <c r="B46" s="29" t="s">
        <v>47</v>
      </c>
      <c r="C46" s="16" t="s">
        <v>88</v>
      </c>
      <c r="D46" s="2" t="s">
        <v>89</v>
      </c>
      <c r="E46" s="3" t="s">
        <v>10</v>
      </c>
      <c r="G46" s="18" t="s">
        <v>41</v>
      </c>
      <c r="I46" s="4"/>
      <c r="AMJ46"/>
    </row>
    <row r="47" spans="1:1024" s="2" customFormat="1" x14ac:dyDescent="0.2">
      <c r="A47" s="4"/>
      <c r="B47" s="29" t="s">
        <v>47</v>
      </c>
      <c r="C47" s="16" t="s">
        <v>90</v>
      </c>
      <c r="D47" s="2" t="s">
        <v>93</v>
      </c>
      <c r="E47" s="3" t="s">
        <v>10</v>
      </c>
      <c r="G47" s="18" t="s">
        <v>41</v>
      </c>
      <c r="I47" s="4"/>
      <c r="AMJ47"/>
    </row>
    <row r="48" spans="1:1024" s="2" customFormat="1" x14ac:dyDescent="0.2">
      <c r="A48" s="4"/>
      <c r="B48" s="29" t="s">
        <v>47</v>
      </c>
      <c r="C48" s="16" t="s">
        <v>91</v>
      </c>
      <c r="D48" s="2" t="s">
        <v>92</v>
      </c>
      <c r="E48" s="3" t="s">
        <v>10</v>
      </c>
      <c r="G48" s="18" t="s">
        <v>41</v>
      </c>
      <c r="I48" s="4"/>
      <c r="AMJ48"/>
    </row>
    <row r="49" spans="1:1024" s="2" customFormat="1" x14ac:dyDescent="0.2">
      <c r="A49" s="4"/>
      <c r="B49" s="29" t="s">
        <v>47</v>
      </c>
      <c r="C49" s="16" t="s">
        <v>94</v>
      </c>
      <c r="D49" s="2" t="s">
        <v>95</v>
      </c>
      <c r="E49" s="3" t="s">
        <v>10</v>
      </c>
      <c r="G49" s="18" t="s">
        <v>41</v>
      </c>
      <c r="I49" s="4"/>
      <c r="AMJ49"/>
    </row>
    <row r="50" spans="1:1024" s="2" customFormat="1" x14ac:dyDescent="0.2">
      <c r="A50" s="4"/>
      <c r="B50" s="29" t="s">
        <v>47</v>
      </c>
      <c r="C50" s="16" t="s">
        <v>96</v>
      </c>
      <c r="D50" s="2" t="s">
        <v>95</v>
      </c>
      <c r="E50" s="3" t="s">
        <v>10</v>
      </c>
      <c r="G50" s="18" t="s">
        <v>41</v>
      </c>
      <c r="I50" s="4"/>
      <c r="AMJ50"/>
    </row>
    <row r="51" spans="1:1024" s="2" customFormat="1" x14ac:dyDescent="0.2">
      <c r="A51" s="4"/>
      <c r="B51" s="29" t="s">
        <v>47</v>
      </c>
      <c r="C51" s="16" t="s">
        <v>97</v>
      </c>
      <c r="D51" s="2" t="s">
        <v>95</v>
      </c>
      <c r="E51" s="3" t="s">
        <v>10</v>
      </c>
      <c r="G51" s="18" t="s">
        <v>41</v>
      </c>
      <c r="I51" s="4"/>
      <c r="AMJ51"/>
    </row>
    <row r="52" spans="1:1024" s="2" customFormat="1" x14ac:dyDescent="0.2">
      <c r="A52" s="4"/>
      <c r="B52" s="29" t="s">
        <v>47</v>
      </c>
      <c r="C52" s="16" t="s">
        <v>98</v>
      </c>
      <c r="D52" s="2" t="s">
        <v>99</v>
      </c>
      <c r="E52" s="3" t="s">
        <v>10</v>
      </c>
      <c r="G52" s="18" t="s">
        <v>41</v>
      </c>
      <c r="I52" s="4"/>
      <c r="AMJ52"/>
    </row>
    <row r="53" spans="1:1024" s="2" customFormat="1" x14ac:dyDescent="0.2">
      <c r="A53" s="4"/>
      <c r="B53" s="29" t="s">
        <v>47</v>
      </c>
      <c r="C53" s="16" t="s">
        <v>100</v>
      </c>
      <c r="D53" s="2" t="s">
        <v>101</v>
      </c>
      <c r="E53" s="3" t="s">
        <v>10</v>
      </c>
      <c r="G53" s="18" t="s">
        <v>41</v>
      </c>
      <c r="I53" s="4"/>
      <c r="AMJ53"/>
    </row>
    <row r="54" spans="1:1024" s="2" customFormat="1" x14ac:dyDescent="0.2">
      <c r="A54" s="4"/>
      <c r="B54" s="29" t="s">
        <v>47</v>
      </c>
      <c r="C54" s="16" t="s">
        <v>102</v>
      </c>
      <c r="D54" s="2" t="s">
        <v>103</v>
      </c>
      <c r="E54" s="3" t="s">
        <v>10</v>
      </c>
      <c r="G54" s="18" t="s">
        <v>41</v>
      </c>
      <c r="I54" s="4"/>
      <c r="AMJ54"/>
    </row>
    <row r="55" spans="1:1024" s="2" customFormat="1" x14ac:dyDescent="0.2">
      <c r="A55" s="4"/>
      <c r="B55" s="29" t="s">
        <v>47</v>
      </c>
      <c r="C55" s="16" t="s">
        <v>114</v>
      </c>
      <c r="D55" s="2" t="s">
        <v>115</v>
      </c>
      <c r="E55" s="3" t="s">
        <v>10</v>
      </c>
      <c r="G55" s="18" t="s">
        <v>41</v>
      </c>
      <c r="I55" s="4"/>
      <c r="AMJ55"/>
    </row>
    <row r="56" spans="1:1024" s="2" customFormat="1" x14ac:dyDescent="0.2">
      <c r="A56" s="4"/>
      <c r="B56" s="29" t="s">
        <v>47</v>
      </c>
      <c r="C56" s="16" t="s">
        <v>119</v>
      </c>
      <c r="D56" s="2" t="s">
        <v>120</v>
      </c>
      <c r="E56" s="3" t="s">
        <v>6</v>
      </c>
      <c r="G56" s="18" t="s">
        <v>41</v>
      </c>
      <c r="I56" s="4"/>
      <c r="AMJ56"/>
    </row>
    <row r="57" spans="1:1024" s="2" customFormat="1" x14ac:dyDescent="0.2">
      <c r="A57" s="4"/>
      <c r="B57" s="29" t="s">
        <v>47</v>
      </c>
      <c r="C57" s="16" t="s">
        <v>126</v>
      </c>
      <c r="D57" s="2" t="s">
        <v>127</v>
      </c>
      <c r="E57" s="3" t="s">
        <v>10</v>
      </c>
      <c r="G57" s="18" t="s">
        <v>41</v>
      </c>
      <c r="I57" s="4"/>
      <c r="AMJ57"/>
    </row>
    <row r="58" spans="1:1024" s="2" customFormat="1" x14ac:dyDescent="0.2">
      <c r="A58" s="4"/>
      <c r="B58" s="29" t="s">
        <v>47</v>
      </c>
      <c r="C58" s="16" t="s">
        <v>117</v>
      </c>
      <c r="D58" s="2" t="s">
        <v>118</v>
      </c>
      <c r="E58" s="3" t="s">
        <v>5</v>
      </c>
      <c r="G58" s="18" t="s">
        <v>41</v>
      </c>
      <c r="I58" s="4"/>
      <c r="AMJ58"/>
    </row>
    <row r="59" spans="1:1024" x14ac:dyDescent="0.2">
      <c r="A59" s="15"/>
      <c r="B59" s="15" t="s">
        <v>37</v>
      </c>
      <c r="C59" s="15"/>
      <c r="D59" s="15"/>
      <c r="E59" s="15"/>
      <c r="F59" s="15"/>
      <c r="G59" s="15"/>
      <c r="H59" s="15"/>
    </row>
    <row r="60" spans="1:1024" s="2" customFormat="1" x14ac:dyDescent="0.2">
      <c r="A60" s="6"/>
      <c r="B60" s="29" t="s">
        <v>104</v>
      </c>
      <c r="C60" s="16" t="s">
        <v>105</v>
      </c>
      <c r="D60" s="4" t="s">
        <v>49</v>
      </c>
      <c r="E60" s="3" t="s">
        <v>10</v>
      </c>
      <c r="G60" s="18" t="s">
        <v>41</v>
      </c>
      <c r="I60" s="4"/>
      <c r="AMJ60"/>
    </row>
    <row r="61" spans="1:1024" s="2" customFormat="1" x14ac:dyDescent="0.2">
      <c r="A61" s="4"/>
      <c r="B61" s="29" t="s">
        <v>104</v>
      </c>
      <c r="C61" s="16" t="s">
        <v>106</v>
      </c>
      <c r="D61" s="2" t="s">
        <v>50</v>
      </c>
      <c r="E61" s="3" t="s">
        <v>10</v>
      </c>
      <c r="G61" s="18" t="s">
        <v>41</v>
      </c>
      <c r="I61" s="4"/>
      <c r="AMJ61"/>
    </row>
    <row r="62" spans="1:1024" s="2" customFormat="1" x14ac:dyDescent="0.2">
      <c r="A62" s="4"/>
      <c r="B62" s="29" t="s">
        <v>104</v>
      </c>
      <c r="C62" s="16" t="s">
        <v>51</v>
      </c>
      <c r="D62" s="2" t="s">
        <v>107</v>
      </c>
      <c r="E62" s="3" t="s">
        <v>10</v>
      </c>
      <c r="G62" s="18" t="s">
        <v>41</v>
      </c>
      <c r="I62" s="4"/>
      <c r="AMJ62"/>
    </row>
    <row r="63" spans="1:1024" s="2" customFormat="1" x14ac:dyDescent="0.2">
      <c r="A63" s="4"/>
      <c r="B63" s="29" t="s">
        <v>104</v>
      </c>
      <c r="C63" s="16" t="s">
        <v>108</v>
      </c>
      <c r="D63" s="2" t="s">
        <v>109</v>
      </c>
      <c r="E63" s="3" t="s">
        <v>10</v>
      </c>
      <c r="G63" s="18" t="s">
        <v>41</v>
      </c>
      <c r="I63" s="4"/>
      <c r="AMJ63"/>
    </row>
    <row r="64" spans="1:1024" s="2" customFormat="1" x14ac:dyDescent="0.2">
      <c r="A64" s="4"/>
      <c r="B64" s="29" t="s">
        <v>104</v>
      </c>
      <c r="C64" s="16" t="s">
        <v>110</v>
      </c>
      <c r="D64" s="2" t="s">
        <v>109</v>
      </c>
      <c r="E64" s="3" t="s">
        <v>10</v>
      </c>
      <c r="G64" s="18" t="s">
        <v>41</v>
      </c>
      <c r="I64" s="4"/>
      <c r="AMJ64"/>
    </row>
    <row r="65" spans="1:1024" s="2" customFormat="1" x14ac:dyDescent="0.2">
      <c r="A65" s="4"/>
      <c r="B65" s="29" t="s">
        <v>104</v>
      </c>
      <c r="C65" s="16" t="s">
        <v>111</v>
      </c>
      <c r="D65" s="2" t="s">
        <v>109</v>
      </c>
      <c r="E65" s="3" t="s">
        <v>10</v>
      </c>
      <c r="G65" s="18" t="s">
        <v>41</v>
      </c>
      <c r="I65" s="4"/>
      <c r="AMJ65"/>
    </row>
    <row r="66" spans="1:1024" s="2" customFormat="1" x14ac:dyDescent="0.2">
      <c r="A66" s="4"/>
      <c r="B66" s="29" t="s">
        <v>104</v>
      </c>
      <c r="C66" s="16" t="s">
        <v>112</v>
      </c>
      <c r="D66" s="2" t="s">
        <v>109</v>
      </c>
      <c r="E66" s="3" t="s">
        <v>10</v>
      </c>
      <c r="G66" s="18" t="s">
        <v>41</v>
      </c>
      <c r="I66" s="4"/>
      <c r="AMJ66"/>
    </row>
    <row r="67" spans="1:1024" s="2" customFormat="1" x14ac:dyDescent="0.2">
      <c r="A67" s="4"/>
      <c r="B67" s="29" t="s">
        <v>104</v>
      </c>
      <c r="C67" s="16" t="s">
        <v>113</v>
      </c>
      <c r="D67" s="2" t="s">
        <v>109</v>
      </c>
      <c r="E67" s="3" t="s">
        <v>6</v>
      </c>
      <c r="G67" s="18" t="s">
        <v>41</v>
      </c>
      <c r="I67" s="4"/>
      <c r="AMJ67"/>
    </row>
    <row r="68" spans="1:1024" s="2" customFormat="1" x14ac:dyDescent="0.2">
      <c r="A68" s="4"/>
      <c r="B68" s="29" t="s">
        <v>104</v>
      </c>
      <c r="C68" s="16" t="s">
        <v>53</v>
      </c>
      <c r="D68" s="2" t="s">
        <v>116</v>
      </c>
      <c r="E68" s="3" t="s">
        <v>6</v>
      </c>
      <c r="G68" s="18" t="s">
        <v>41</v>
      </c>
      <c r="I68" s="4"/>
      <c r="AMJ68"/>
    </row>
    <row r="69" spans="1:1024" s="2" customFormat="1" x14ac:dyDescent="0.2">
      <c r="A69" s="4"/>
      <c r="B69" s="29" t="s">
        <v>104</v>
      </c>
      <c r="C69" s="16" t="s">
        <v>55</v>
      </c>
      <c r="D69" s="2" t="s">
        <v>56</v>
      </c>
      <c r="E69" s="3" t="s">
        <v>10</v>
      </c>
      <c r="G69" s="18" t="s">
        <v>41</v>
      </c>
      <c r="I69" s="4"/>
      <c r="AMJ69"/>
    </row>
    <row r="70" spans="1:1024" s="2" customFormat="1" x14ac:dyDescent="0.2">
      <c r="A70" s="4"/>
      <c r="B70" s="29" t="s">
        <v>104</v>
      </c>
      <c r="C70" s="16" t="s">
        <v>61</v>
      </c>
      <c r="D70" s="2" t="s">
        <v>60</v>
      </c>
      <c r="E70" s="3" t="s">
        <v>10</v>
      </c>
      <c r="G70" s="18" t="s">
        <v>41</v>
      </c>
      <c r="I70" s="4"/>
      <c r="AMJ70"/>
    </row>
    <row r="71" spans="1:1024" s="2" customFormat="1" x14ac:dyDescent="0.2">
      <c r="A71" s="4"/>
      <c r="B71" s="29" t="s">
        <v>104</v>
      </c>
      <c r="C71" s="16" t="s">
        <v>62</v>
      </c>
      <c r="D71" s="2" t="s">
        <v>63</v>
      </c>
      <c r="E71" s="3" t="s">
        <v>8</v>
      </c>
      <c r="G71" s="18" t="s">
        <v>41</v>
      </c>
      <c r="I71" s="4"/>
      <c r="AMJ71"/>
    </row>
    <row r="72" spans="1:1024" s="2" customFormat="1" x14ac:dyDescent="0.2">
      <c r="A72" s="4"/>
      <c r="B72" s="29" t="s">
        <v>104</v>
      </c>
      <c r="C72" s="16" t="s">
        <v>64</v>
      </c>
      <c r="D72" s="2" t="s">
        <v>65</v>
      </c>
      <c r="E72" s="3" t="s">
        <v>10</v>
      </c>
      <c r="G72" s="18" t="s">
        <v>41</v>
      </c>
      <c r="I72" s="4"/>
      <c r="AMJ72"/>
    </row>
    <row r="73" spans="1:1024" s="2" customFormat="1" x14ac:dyDescent="0.2">
      <c r="A73" s="4"/>
      <c r="B73" s="29" t="s">
        <v>104</v>
      </c>
      <c r="C73" s="16" t="s">
        <v>66</v>
      </c>
      <c r="D73" s="2" t="s">
        <v>67</v>
      </c>
      <c r="E73" s="3" t="s">
        <v>7</v>
      </c>
      <c r="G73" s="18" t="s">
        <v>41</v>
      </c>
      <c r="I73" s="4"/>
      <c r="AMJ73"/>
    </row>
    <row r="74" spans="1:1024" s="2" customFormat="1" x14ac:dyDescent="0.2">
      <c r="A74" s="4"/>
      <c r="B74" s="29" t="s">
        <v>104</v>
      </c>
      <c r="C74" s="16" t="s">
        <v>68</v>
      </c>
      <c r="D74" s="2" t="s">
        <v>69</v>
      </c>
      <c r="E74" s="3" t="s">
        <v>10</v>
      </c>
      <c r="G74" s="18" t="s">
        <v>41</v>
      </c>
      <c r="I74" s="4"/>
      <c r="AMJ74"/>
    </row>
    <row r="75" spans="1:1024" s="2" customFormat="1" x14ac:dyDescent="0.2">
      <c r="A75" s="4"/>
      <c r="B75" s="29" t="s">
        <v>104</v>
      </c>
      <c r="C75" s="16" t="s">
        <v>70</v>
      </c>
      <c r="D75" s="2" t="s">
        <v>71</v>
      </c>
      <c r="E75" s="3" t="s">
        <v>10</v>
      </c>
      <c r="G75" s="18" t="s">
        <v>41</v>
      </c>
      <c r="I75" s="4"/>
      <c r="AMJ75"/>
    </row>
    <row r="76" spans="1:1024" s="2" customFormat="1" x14ac:dyDescent="0.2">
      <c r="A76" s="4"/>
      <c r="B76" s="29" t="s">
        <v>104</v>
      </c>
      <c r="C76" s="16" t="s">
        <v>72</v>
      </c>
      <c r="D76" s="2" t="s">
        <v>73</v>
      </c>
      <c r="E76" s="3" t="s">
        <v>10</v>
      </c>
      <c r="G76" s="18" t="s">
        <v>41</v>
      </c>
      <c r="I76" s="4"/>
      <c r="AMJ76"/>
    </row>
    <row r="77" spans="1:1024" s="2" customFormat="1" x14ac:dyDescent="0.2">
      <c r="A77" s="4"/>
      <c r="B77" s="29" t="s">
        <v>104</v>
      </c>
      <c r="C77" s="16" t="s">
        <v>74</v>
      </c>
      <c r="D77" s="2" t="s">
        <v>75</v>
      </c>
      <c r="E77" s="3" t="s">
        <v>8</v>
      </c>
      <c r="G77" s="18" t="s">
        <v>41</v>
      </c>
      <c r="I77" s="4"/>
      <c r="AMJ77"/>
    </row>
    <row r="78" spans="1:1024" s="2" customFormat="1" x14ac:dyDescent="0.2">
      <c r="A78" s="4"/>
      <c r="B78" s="29" t="s">
        <v>104</v>
      </c>
      <c r="C78" s="16" t="s">
        <v>77</v>
      </c>
      <c r="D78" s="2" t="s">
        <v>76</v>
      </c>
      <c r="E78" s="3" t="s">
        <v>10</v>
      </c>
      <c r="G78" s="18" t="s">
        <v>41</v>
      </c>
      <c r="I78" s="4"/>
      <c r="AMJ78"/>
    </row>
    <row r="79" spans="1:1024" s="2" customFormat="1" x14ac:dyDescent="0.2">
      <c r="A79" s="4"/>
      <c r="B79" s="29" t="s">
        <v>104</v>
      </c>
      <c r="C79" s="16" t="s">
        <v>78</v>
      </c>
      <c r="D79" s="2" t="s">
        <v>79</v>
      </c>
      <c r="E79" s="3" t="s">
        <v>10</v>
      </c>
      <c r="G79" s="18" t="s">
        <v>41</v>
      </c>
      <c r="I79" s="4"/>
      <c r="AMJ79"/>
    </row>
    <row r="80" spans="1:1024" s="2" customFormat="1" x14ac:dyDescent="0.2">
      <c r="A80" s="4"/>
      <c r="B80" s="29" t="s">
        <v>104</v>
      </c>
      <c r="C80" s="16" t="s">
        <v>81</v>
      </c>
      <c r="D80" s="2" t="s">
        <v>80</v>
      </c>
      <c r="E80" s="3" t="s">
        <v>10</v>
      </c>
      <c r="G80" s="18" t="s">
        <v>41</v>
      </c>
      <c r="I80" s="4"/>
      <c r="AMJ80"/>
    </row>
    <row r="81" spans="1:1024" s="2" customFormat="1" x14ac:dyDescent="0.2">
      <c r="A81" s="4"/>
      <c r="B81" s="29" t="s">
        <v>104</v>
      </c>
      <c r="C81" s="16" t="s">
        <v>82</v>
      </c>
      <c r="D81" s="2" t="s">
        <v>83</v>
      </c>
      <c r="E81" s="3" t="s">
        <v>10</v>
      </c>
      <c r="G81" s="18" t="s">
        <v>41</v>
      </c>
      <c r="I81" s="4"/>
      <c r="AMJ81"/>
    </row>
    <row r="82" spans="1:1024" s="2" customFormat="1" x14ac:dyDescent="0.2">
      <c r="A82" s="4"/>
      <c r="B82" s="29" t="s">
        <v>104</v>
      </c>
      <c r="C82" s="16" t="s">
        <v>84</v>
      </c>
      <c r="D82" s="2" t="s">
        <v>85</v>
      </c>
      <c r="E82" s="3" t="s">
        <v>8</v>
      </c>
      <c r="G82" s="18" t="s">
        <v>41</v>
      </c>
      <c r="I82" s="4"/>
      <c r="AMJ82"/>
    </row>
    <row r="83" spans="1:1024" s="2" customFormat="1" x14ac:dyDescent="0.2">
      <c r="A83" s="4"/>
      <c r="B83" s="29" t="s">
        <v>104</v>
      </c>
      <c r="C83" s="16" t="s">
        <v>86</v>
      </c>
      <c r="D83" s="2" t="s">
        <v>87</v>
      </c>
      <c r="E83" s="3" t="s">
        <v>8</v>
      </c>
      <c r="G83" s="18" t="s">
        <v>41</v>
      </c>
      <c r="I83" s="4"/>
      <c r="AMJ83"/>
    </row>
    <row r="84" spans="1:1024" s="2" customFormat="1" x14ac:dyDescent="0.2">
      <c r="A84" s="4"/>
      <c r="B84" s="29" t="s">
        <v>104</v>
      </c>
      <c r="C84" s="16" t="s">
        <v>88</v>
      </c>
      <c r="D84" s="2" t="s">
        <v>89</v>
      </c>
      <c r="E84" s="3" t="s">
        <v>10</v>
      </c>
      <c r="G84" s="18" t="s">
        <v>41</v>
      </c>
      <c r="I84" s="4"/>
      <c r="AMJ84"/>
    </row>
    <row r="85" spans="1:1024" s="2" customFormat="1" x14ac:dyDescent="0.2">
      <c r="A85" s="4"/>
      <c r="B85" s="29" t="s">
        <v>104</v>
      </c>
      <c r="C85" s="16" t="s">
        <v>90</v>
      </c>
      <c r="D85" s="2" t="s">
        <v>140</v>
      </c>
      <c r="E85" s="3" t="s">
        <v>10</v>
      </c>
      <c r="G85" s="18" t="s">
        <v>41</v>
      </c>
      <c r="I85" s="4"/>
      <c r="AMJ85"/>
    </row>
    <row r="86" spans="1:1024" s="2" customFormat="1" x14ac:dyDescent="0.2">
      <c r="A86" s="4"/>
      <c r="B86" s="29" t="s">
        <v>104</v>
      </c>
      <c r="C86" s="16" t="s">
        <v>91</v>
      </c>
      <c r="D86" s="2" t="s">
        <v>141</v>
      </c>
      <c r="E86" s="3" t="s">
        <v>10</v>
      </c>
      <c r="G86" s="18" t="s">
        <v>41</v>
      </c>
      <c r="I86" s="4"/>
      <c r="AMJ86"/>
    </row>
    <row r="87" spans="1:1024" s="2" customFormat="1" x14ac:dyDescent="0.2">
      <c r="A87" s="4"/>
      <c r="B87" s="29" t="s">
        <v>104</v>
      </c>
      <c r="C87" s="16" t="s">
        <v>94</v>
      </c>
      <c r="D87" s="2" t="s">
        <v>95</v>
      </c>
      <c r="E87" s="3" t="s">
        <v>10</v>
      </c>
      <c r="G87" s="18" t="s">
        <v>41</v>
      </c>
      <c r="I87" s="4"/>
      <c r="AMJ87"/>
    </row>
    <row r="88" spans="1:1024" s="2" customFormat="1" x14ac:dyDescent="0.2">
      <c r="A88" s="4"/>
      <c r="B88" s="29" t="s">
        <v>104</v>
      </c>
      <c r="C88" s="16" t="s">
        <v>96</v>
      </c>
      <c r="D88" s="2" t="s">
        <v>95</v>
      </c>
      <c r="E88" s="3" t="s">
        <v>10</v>
      </c>
      <c r="G88" s="18" t="s">
        <v>41</v>
      </c>
      <c r="I88" s="4"/>
      <c r="AMJ88"/>
    </row>
    <row r="89" spans="1:1024" s="2" customFormat="1" x14ac:dyDescent="0.2">
      <c r="A89" s="4"/>
      <c r="B89" s="29" t="s">
        <v>104</v>
      </c>
      <c r="C89" s="16" t="s">
        <v>97</v>
      </c>
      <c r="D89" s="2" t="s">
        <v>95</v>
      </c>
      <c r="E89" s="3" t="s">
        <v>10</v>
      </c>
      <c r="G89" s="18" t="s">
        <v>41</v>
      </c>
      <c r="I89" s="4"/>
      <c r="AMJ89"/>
    </row>
    <row r="90" spans="1:1024" s="2" customFormat="1" x14ac:dyDescent="0.2">
      <c r="A90" s="4"/>
      <c r="B90" s="29" t="s">
        <v>104</v>
      </c>
      <c r="C90" s="16" t="s">
        <v>98</v>
      </c>
      <c r="D90" s="2" t="s">
        <v>95</v>
      </c>
      <c r="E90" s="3" t="s">
        <v>10</v>
      </c>
      <c r="G90" s="18" t="s">
        <v>41</v>
      </c>
      <c r="I90" s="4"/>
      <c r="AMJ90"/>
    </row>
    <row r="91" spans="1:1024" s="2" customFormat="1" x14ac:dyDescent="0.2">
      <c r="A91" s="4"/>
      <c r="B91" s="29" t="s">
        <v>104</v>
      </c>
      <c r="C91" s="16" t="s">
        <v>135</v>
      </c>
      <c r="D91" s="2" t="s">
        <v>95</v>
      </c>
      <c r="E91" s="3" t="s">
        <v>7</v>
      </c>
      <c r="G91" s="18" t="s">
        <v>41</v>
      </c>
      <c r="I91" s="4"/>
      <c r="AMJ91"/>
    </row>
    <row r="92" spans="1:1024" s="2" customFormat="1" x14ac:dyDescent="0.2">
      <c r="A92" s="4"/>
      <c r="B92" s="29" t="s">
        <v>104</v>
      </c>
      <c r="C92" s="16" t="s">
        <v>100</v>
      </c>
      <c r="D92" s="2" t="s">
        <v>101</v>
      </c>
      <c r="E92" s="3" t="s">
        <v>10</v>
      </c>
      <c r="G92" s="18" t="s">
        <v>41</v>
      </c>
      <c r="I92" s="4"/>
      <c r="AMJ92"/>
    </row>
    <row r="93" spans="1:1024" s="2" customFormat="1" x14ac:dyDescent="0.2">
      <c r="A93" s="4"/>
      <c r="B93" s="29" t="s">
        <v>104</v>
      </c>
      <c r="C93" s="16" t="s">
        <v>102</v>
      </c>
      <c r="D93" s="2" t="s">
        <v>103</v>
      </c>
      <c r="E93" s="3" t="s">
        <v>10</v>
      </c>
      <c r="G93" s="18" t="s">
        <v>41</v>
      </c>
      <c r="I93" s="4"/>
      <c r="AMJ93"/>
    </row>
    <row r="94" spans="1:1024" s="2" customFormat="1" x14ac:dyDescent="0.2">
      <c r="A94" s="4"/>
      <c r="B94" s="29" t="s">
        <v>104</v>
      </c>
      <c r="C94" s="16" t="s">
        <v>128</v>
      </c>
      <c r="D94" s="2" t="s">
        <v>127</v>
      </c>
      <c r="E94" s="3" t="s">
        <v>10</v>
      </c>
      <c r="G94" s="18" t="s">
        <v>41</v>
      </c>
      <c r="I94" s="4"/>
      <c r="AMJ94"/>
    </row>
    <row r="95" spans="1:1024" s="2" customFormat="1" x14ac:dyDescent="0.2">
      <c r="A95" s="4"/>
      <c r="B95" s="29" t="s">
        <v>104</v>
      </c>
      <c r="C95" s="16" t="s">
        <v>129</v>
      </c>
      <c r="D95" s="2" t="s">
        <v>127</v>
      </c>
      <c r="E95" s="3" t="s">
        <v>10</v>
      </c>
      <c r="G95" s="18" t="s">
        <v>41</v>
      </c>
      <c r="I95" s="4"/>
      <c r="AMJ95"/>
    </row>
    <row r="96" spans="1:1024" s="2" customFormat="1" x14ac:dyDescent="0.2">
      <c r="A96" s="4"/>
      <c r="B96" s="29" t="s">
        <v>104</v>
      </c>
      <c r="C96" s="16" t="s">
        <v>130</v>
      </c>
      <c r="D96" s="2" t="s">
        <v>127</v>
      </c>
      <c r="E96" s="3" t="s">
        <v>6</v>
      </c>
      <c r="G96" s="18" t="s">
        <v>41</v>
      </c>
      <c r="I96" s="4"/>
      <c r="AMJ96"/>
    </row>
    <row r="97" spans="1:1024" s="2" customFormat="1" x14ac:dyDescent="0.2">
      <c r="A97" s="4"/>
      <c r="B97" s="29" t="s">
        <v>104</v>
      </c>
      <c r="C97" s="16" t="s">
        <v>131</v>
      </c>
      <c r="D97" s="2" t="s">
        <v>127</v>
      </c>
      <c r="E97" s="3" t="s">
        <v>10</v>
      </c>
      <c r="G97" s="18" t="s">
        <v>41</v>
      </c>
      <c r="I97" s="4"/>
      <c r="AMJ97"/>
    </row>
    <row r="98" spans="1:1024" s="2" customFormat="1" x14ac:dyDescent="0.2">
      <c r="A98" s="4"/>
      <c r="B98" s="29" t="s">
        <v>104</v>
      </c>
      <c r="C98" s="16" t="s">
        <v>132</v>
      </c>
      <c r="D98" s="2" t="s">
        <v>127</v>
      </c>
      <c r="E98" s="3" t="s">
        <v>10</v>
      </c>
      <c r="G98" s="18" t="s">
        <v>41</v>
      </c>
      <c r="I98" s="4"/>
      <c r="AMJ98"/>
    </row>
    <row r="99" spans="1:1024" s="2" customFormat="1" x14ac:dyDescent="0.2">
      <c r="A99" s="4"/>
      <c r="B99" s="29" t="s">
        <v>104</v>
      </c>
      <c r="C99" s="16" t="s">
        <v>117</v>
      </c>
      <c r="D99" s="2" t="s">
        <v>118</v>
      </c>
      <c r="E99" s="3" t="s">
        <v>5</v>
      </c>
      <c r="G99" s="18" t="s">
        <v>41</v>
      </c>
      <c r="I99" s="4"/>
      <c r="AMJ99"/>
    </row>
    <row r="100" spans="1:1024" s="2" customFormat="1" x14ac:dyDescent="0.2">
      <c r="A100" s="4"/>
      <c r="B100" s="29" t="s">
        <v>104</v>
      </c>
      <c r="C100" s="16" t="s">
        <v>119</v>
      </c>
      <c r="D100" s="2" t="s">
        <v>118</v>
      </c>
      <c r="E100" s="3" t="s">
        <v>10</v>
      </c>
      <c r="G100" s="18" t="s">
        <v>41</v>
      </c>
      <c r="I100" s="4"/>
      <c r="AMJ100"/>
    </row>
    <row r="101" spans="1:1024" s="2" customFormat="1" x14ac:dyDescent="0.2">
      <c r="A101" s="4"/>
      <c r="B101" s="29" t="s">
        <v>104</v>
      </c>
      <c r="C101" s="16" t="s">
        <v>121</v>
      </c>
      <c r="D101" s="2" t="s">
        <v>115</v>
      </c>
      <c r="E101" s="3" t="s">
        <v>10</v>
      </c>
      <c r="G101" s="18" t="s">
        <v>41</v>
      </c>
      <c r="I101" s="4"/>
      <c r="AMJ101"/>
    </row>
    <row r="102" spans="1:1024" s="2" customFormat="1" x14ac:dyDescent="0.2">
      <c r="A102" s="4"/>
      <c r="B102" s="29" t="s">
        <v>104</v>
      </c>
      <c r="C102" s="16" t="s">
        <v>122</v>
      </c>
      <c r="D102" s="2" t="s">
        <v>115</v>
      </c>
      <c r="E102" s="3" t="s">
        <v>10</v>
      </c>
      <c r="G102" s="18" t="s">
        <v>41</v>
      </c>
      <c r="I102" s="4"/>
      <c r="AMJ102"/>
    </row>
    <row r="103" spans="1:1024" s="2" customFormat="1" x14ac:dyDescent="0.2">
      <c r="A103" s="4"/>
      <c r="B103" s="29" t="s">
        <v>104</v>
      </c>
      <c r="C103" s="16" t="s">
        <v>123</v>
      </c>
      <c r="D103" s="2" t="s">
        <v>115</v>
      </c>
      <c r="E103" s="3" t="s">
        <v>8</v>
      </c>
      <c r="G103" s="18" t="s">
        <v>41</v>
      </c>
      <c r="I103" s="4"/>
      <c r="AMJ103"/>
    </row>
    <row r="104" spans="1:1024" s="2" customFormat="1" x14ac:dyDescent="0.2">
      <c r="A104" s="4"/>
      <c r="B104" s="29" t="s">
        <v>104</v>
      </c>
      <c r="C104" s="16" t="s">
        <v>124</v>
      </c>
      <c r="D104" s="2" t="s">
        <v>115</v>
      </c>
      <c r="E104" s="3" t="s">
        <v>10</v>
      </c>
      <c r="G104" s="18" t="s">
        <v>41</v>
      </c>
      <c r="I104" s="4"/>
      <c r="AMJ104"/>
    </row>
    <row r="105" spans="1:1024" s="2" customFormat="1" x14ac:dyDescent="0.2">
      <c r="A105" s="4"/>
      <c r="B105" s="29" t="s">
        <v>104</v>
      </c>
      <c r="C105" s="16" t="s">
        <v>125</v>
      </c>
      <c r="D105" s="2" t="s">
        <v>115</v>
      </c>
      <c r="E105" s="3" t="s">
        <v>10</v>
      </c>
      <c r="G105" s="18" t="s">
        <v>41</v>
      </c>
      <c r="I105" s="4"/>
      <c r="AMJ105"/>
    </row>
    <row r="106" spans="1:1024" x14ac:dyDescent="0.2">
      <c r="A106" s="15"/>
      <c r="B106" s="15" t="s">
        <v>133</v>
      </c>
      <c r="C106" s="15"/>
      <c r="D106" s="15"/>
      <c r="E106" s="15"/>
      <c r="F106" s="15"/>
      <c r="G106" s="15"/>
      <c r="H106" s="15"/>
    </row>
    <row r="107" spans="1:1024" s="2" customFormat="1" x14ac:dyDescent="0.2">
      <c r="A107" s="6"/>
      <c r="B107" s="29" t="s">
        <v>134</v>
      </c>
      <c r="C107" s="16" t="s">
        <v>136</v>
      </c>
      <c r="D107" s="4" t="s">
        <v>49</v>
      </c>
      <c r="E107" s="3" t="s">
        <v>10</v>
      </c>
      <c r="G107" s="18" t="s">
        <v>41</v>
      </c>
      <c r="I107" s="4"/>
      <c r="AMJ107"/>
    </row>
    <row r="108" spans="1:1024" s="2" customFormat="1" x14ac:dyDescent="0.2">
      <c r="A108" s="4"/>
      <c r="B108" s="29" t="s">
        <v>134</v>
      </c>
      <c r="C108" s="16" t="s">
        <v>137</v>
      </c>
      <c r="D108" s="2" t="s">
        <v>50</v>
      </c>
      <c r="E108" s="3" t="s">
        <v>10</v>
      </c>
      <c r="G108" s="18" t="s">
        <v>41</v>
      </c>
      <c r="I108" s="4"/>
      <c r="AMJ108"/>
    </row>
    <row r="109" spans="1:1024" s="2" customFormat="1" x14ac:dyDescent="0.2">
      <c r="A109" s="4"/>
      <c r="B109" s="29" t="s">
        <v>134</v>
      </c>
      <c r="C109" s="16" t="s">
        <v>51</v>
      </c>
      <c r="D109" s="2" t="s">
        <v>139</v>
      </c>
      <c r="E109" s="3" t="s">
        <v>10</v>
      </c>
      <c r="G109" s="18" t="s">
        <v>41</v>
      </c>
      <c r="I109" s="4"/>
      <c r="AMJ109"/>
    </row>
    <row r="110" spans="1:1024" s="2" customFormat="1" x14ac:dyDescent="0.2">
      <c r="A110" s="4"/>
      <c r="B110" s="29" t="s">
        <v>134</v>
      </c>
      <c r="C110" s="16" t="s">
        <v>59</v>
      </c>
      <c r="D110" s="2" t="s">
        <v>52</v>
      </c>
      <c r="E110" s="3" t="s">
        <v>10</v>
      </c>
      <c r="G110" s="18" t="s">
        <v>41</v>
      </c>
      <c r="I110" s="4"/>
      <c r="AMJ110"/>
    </row>
    <row r="111" spans="1:1024" s="2" customFormat="1" ht="12" customHeight="1" x14ac:dyDescent="0.2">
      <c r="A111" s="4"/>
      <c r="B111" s="29" t="s">
        <v>134</v>
      </c>
      <c r="C111" s="16" t="s">
        <v>53</v>
      </c>
      <c r="D111" s="2" t="s">
        <v>54</v>
      </c>
      <c r="E111" s="3" t="s">
        <v>10</v>
      </c>
      <c r="G111" s="18" t="s">
        <v>41</v>
      </c>
      <c r="I111" s="4"/>
      <c r="AMJ111"/>
    </row>
    <row r="112" spans="1:1024" s="2" customFormat="1" ht="12" customHeight="1" x14ac:dyDescent="0.2">
      <c r="A112" s="4"/>
      <c r="B112" s="29" t="s">
        <v>134</v>
      </c>
      <c r="C112" s="16" t="s">
        <v>55</v>
      </c>
      <c r="D112" s="2" t="s">
        <v>56</v>
      </c>
      <c r="E112" s="3" t="s">
        <v>10</v>
      </c>
      <c r="G112" s="18" t="s">
        <v>41</v>
      </c>
      <c r="I112" s="4"/>
      <c r="AMJ112"/>
    </row>
    <row r="113" spans="1:1024" s="2" customFormat="1" ht="12" customHeight="1" x14ac:dyDescent="0.2">
      <c r="A113" s="4"/>
      <c r="B113" s="29" t="s">
        <v>134</v>
      </c>
      <c r="C113" s="16" t="s">
        <v>61</v>
      </c>
      <c r="D113" s="2" t="s">
        <v>60</v>
      </c>
      <c r="E113" s="3" t="s">
        <v>10</v>
      </c>
      <c r="G113" s="18" t="s">
        <v>41</v>
      </c>
      <c r="I113" s="4"/>
      <c r="AMJ113"/>
    </row>
    <row r="114" spans="1:1024" s="2" customFormat="1" ht="12" customHeight="1" x14ac:dyDescent="0.2">
      <c r="A114" s="4"/>
      <c r="B114" s="29" t="s">
        <v>134</v>
      </c>
      <c r="C114" s="16" t="s">
        <v>62</v>
      </c>
      <c r="D114" s="2" t="s">
        <v>63</v>
      </c>
      <c r="E114" s="3" t="s">
        <v>8</v>
      </c>
      <c r="G114" s="18" t="s">
        <v>41</v>
      </c>
      <c r="I114" s="4"/>
      <c r="AMJ114"/>
    </row>
    <row r="115" spans="1:1024" s="2" customFormat="1" ht="12" customHeight="1" x14ac:dyDescent="0.2">
      <c r="A115" s="4"/>
      <c r="B115" s="29" t="s">
        <v>134</v>
      </c>
      <c r="C115" s="16" t="s">
        <v>64</v>
      </c>
      <c r="D115" s="2" t="s">
        <v>65</v>
      </c>
      <c r="E115" s="3" t="s">
        <v>10</v>
      </c>
      <c r="G115" s="18" t="s">
        <v>41</v>
      </c>
      <c r="I115" s="4"/>
      <c r="AMJ115"/>
    </row>
    <row r="116" spans="1:1024" s="2" customFormat="1" ht="12" customHeight="1" x14ac:dyDescent="0.2">
      <c r="A116" s="4"/>
      <c r="B116" s="29" t="s">
        <v>134</v>
      </c>
      <c r="C116" s="16" t="s">
        <v>66</v>
      </c>
      <c r="D116" s="2" t="s">
        <v>67</v>
      </c>
      <c r="E116" s="3" t="s">
        <v>7</v>
      </c>
      <c r="G116" s="18" t="s">
        <v>41</v>
      </c>
      <c r="I116" s="4"/>
      <c r="AMJ116"/>
    </row>
    <row r="117" spans="1:1024" s="2" customFormat="1" ht="12" customHeight="1" x14ac:dyDescent="0.2">
      <c r="A117" s="4"/>
      <c r="B117" s="29" t="s">
        <v>134</v>
      </c>
      <c r="C117" s="16" t="s">
        <v>68</v>
      </c>
      <c r="D117" s="2" t="s">
        <v>69</v>
      </c>
      <c r="E117" s="3" t="s">
        <v>10</v>
      </c>
      <c r="G117" s="18" t="s">
        <v>41</v>
      </c>
      <c r="I117" s="4"/>
      <c r="AMJ117"/>
    </row>
    <row r="118" spans="1:1024" s="2" customFormat="1" ht="12" customHeight="1" x14ac:dyDescent="0.2">
      <c r="A118" s="4"/>
      <c r="B118" s="29" t="s">
        <v>134</v>
      </c>
      <c r="C118" s="16" t="s">
        <v>70</v>
      </c>
      <c r="D118" s="2" t="s">
        <v>71</v>
      </c>
      <c r="E118" s="3" t="s">
        <v>10</v>
      </c>
      <c r="G118" s="18" t="s">
        <v>41</v>
      </c>
      <c r="I118" s="4"/>
      <c r="AMJ118"/>
    </row>
    <row r="119" spans="1:1024" s="2" customFormat="1" ht="12" customHeight="1" x14ac:dyDescent="0.2">
      <c r="A119" s="4"/>
      <c r="B119" s="29" t="s">
        <v>134</v>
      </c>
      <c r="C119" s="16" t="s">
        <v>72</v>
      </c>
      <c r="D119" s="2" t="s">
        <v>73</v>
      </c>
      <c r="E119" s="3" t="s">
        <v>10</v>
      </c>
      <c r="G119" s="18" t="s">
        <v>41</v>
      </c>
      <c r="I119" s="4"/>
      <c r="AMJ119"/>
    </row>
    <row r="120" spans="1:1024" s="2" customFormat="1" ht="12" customHeight="1" x14ac:dyDescent="0.2">
      <c r="A120" s="4"/>
      <c r="B120" s="29" t="s">
        <v>134</v>
      </c>
      <c r="C120" s="16" t="s">
        <v>74</v>
      </c>
      <c r="D120" s="2" t="s">
        <v>75</v>
      </c>
      <c r="E120" s="3" t="s">
        <v>8</v>
      </c>
      <c r="G120" s="18" t="s">
        <v>41</v>
      </c>
      <c r="I120" s="4"/>
      <c r="AMJ120"/>
    </row>
    <row r="121" spans="1:1024" s="2" customFormat="1" ht="12" customHeight="1" x14ac:dyDescent="0.2">
      <c r="A121" s="4"/>
      <c r="B121" s="29" t="s">
        <v>134</v>
      </c>
      <c r="C121" s="16" t="s">
        <v>77</v>
      </c>
      <c r="D121" s="2" t="s">
        <v>76</v>
      </c>
      <c r="E121" s="3" t="s">
        <v>10</v>
      </c>
      <c r="G121" s="18" t="s">
        <v>41</v>
      </c>
      <c r="I121" s="4"/>
      <c r="AMJ121"/>
    </row>
    <row r="122" spans="1:1024" s="2" customFormat="1" ht="12" customHeight="1" x14ac:dyDescent="0.2">
      <c r="A122" s="4"/>
      <c r="B122" s="29" t="s">
        <v>134</v>
      </c>
      <c r="C122" s="16" t="s">
        <v>78</v>
      </c>
      <c r="D122" s="2" t="s">
        <v>79</v>
      </c>
      <c r="E122" s="3" t="s">
        <v>7</v>
      </c>
      <c r="G122" s="18" t="s">
        <v>41</v>
      </c>
      <c r="I122" s="4"/>
      <c r="AMJ122"/>
    </row>
    <row r="123" spans="1:1024" s="2" customFormat="1" ht="12" customHeight="1" x14ac:dyDescent="0.2">
      <c r="A123" s="4"/>
      <c r="B123" s="29" t="s">
        <v>134</v>
      </c>
      <c r="C123" s="16" t="s">
        <v>81</v>
      </c>
      <c r="D123" s="2" t="s">
        <v>80</v>
      </c>
      <c r="E123" s="3" t="s">
        <v>10</v>
      </c>
      <c r="G123" s="18" t="s">
        <v>41</v>
      </c>
      <c r="I123" s="4"/>
      <c r="AMJ123"/>
    </row>
    <row r="124" spans="1:1024" s="2" customFormat="1" ht="12" customHeight="1" x14ac:dyDescent="0.2">
      <c r="A124" s="4"/>
      <c r="B124" s="29" t="s">
        <v>134</v>
      </c>
      <c r="C124" s="16" t="s">
        <v>82</v>
      </c>
      <c r="D124" s="2" t="s">
        <v>83</v>
      </c>
      <c r="E124" s="3" t="s">
        <v>10</v>
      </c>
      <c r="G124" s="18" t="s">
        <v>41</v>
      </c>
      <c r="I124" s="4"/>
      <c r="AMJ124"/>
    </row>
    <row r="125" spans="1:1024" s="2" customFormat="1" ht="12" customHeight="1" x14ac:dyDescent="0.2">
      <c r="A125" s="4"/>
      <c r="B125" s="29" t="s">
        <v>134</v>
      </c>
      <c r="C125" s="16" t="s">
        <v>84</v>
      </c>
      <c r="D125" s="2" t="s">
        <v>85</v>
      </c>
      <c r="E125" s="3" t="s">
        <v>8</v>
      </c>
      <c r="G125" s="18" t="s">
        <v>41</v>
      </c>
      <c r="I125" s="4"/>
      <c r="AMJ125"/>
    </row>
    <row r="126" spans="1:1024" s="2" customFormat="1" ht="12" customHeight="1" x14ac:dyDescent="0.2">
      <c r="A126" s="4"/>
      <c r="B126" s="29" t="s">
        <v>134</v>
      </c>
      <c r="C126" s="16" t="s">
        <v>86</v>
      </c>
      <c r="D126" s="2" t="s">
        <v>87</v>
      </c>
      <c r="E126" s="3" t="s">
        <v>8</v>
      </c>
      <c r="G126" s="18" t="s">
        <v>41</v>
      </c>
      <c r="I126" s="4"/>
      <c r="AMJ126"/>
    </row>
    <row r="127" spans="1:1024" s="2" customFormat="1" ht="12" customHeight="1" x14ac:dyDescent="0.2">
      <c r="A127" s="4"/>
      <c r="B127" s="29" t="s">
        <v>134</v>
      </c>
      <c r="C127" s="16" t="s">
        <v>88</v>
      </c>
      <c r="D127" s="2" t="s">
        <v>89</v>
      </c>
      <c r="E127" s="3" t="s">
        <v>10</v>
      </c>
      <c r="G127" s="18" t="s">
        <v>41</v>
      </c>
      <c r="I127" s="4"/>
      <c r="AMJ127"/>
    </row>
    <row r="128" spans="1:1024" s="2" customFormat="1" ht="12" customHeight="1" x14ac:dyDescent="0.2">
      <c r="A128" s="4"/>
      <c r="B128" s="29" t="s">
        <v>134</v>
      </c>
      <c r="C128" s="16" t="s">
        <v>90</v>
      </c>
      <c r="D128" s="2" t="s">
        <v>142</v>
      </c>
      <c r="E128" s="3" t="s">
        <v>10</v>
      </c>
      <c r="G128" s="18" t="s">
        <v>41</v>
      </c>
      <c r="I128" s="4"/>
      <c r="AMJ128"/>
    </row>
    <row r="129" spans="1:1024" s="2" customFormat="1" ht="12" customHeight="1" x14ac:dyDescent="0.2">
      <c r="A129" s="4"/>
      <c r="B129" s="29" t="s">
        <v>134</v>
      </c>
      <c r="C129" s="16" t="s">
        <v>91</v>
      </c>
      <c r="D129" s="2" t="s">
        <v>92</v>
      </c>
      <c r="E129" s="3" t="s">
        <v>10</v>
      </c>
      <c r="G129" s="18" t="s">
        <v>41</v>
      </c>
      <c r="I129" s="4"/>
      <c r="AMJ129"/>
    </row>
    <row r="130" spans="1:1024" s="2" customFormat="1" ht="12" customHeight="1" x14ac:dyDescent="0.2">
      <c r="A130" s="4"/>
      <c r="B130" s="29" t="s">
        <v>134</v>
      </c>
      <c r="C130" s="16" t="s">
        <v>94</v>
      </c>
      <c r="D130" s="2" t="s">
        <v>95</v>
      </c>
      <c r="E130" s="3" t="s">
        <v>10</v>
      </c>
      <c r="G130" s="18" t="s">
        <v>41</v>
      </c>
      <c r="I130" s="4"/>
      <c r="AMJ130"/>
    </row>
    <row r="131" spans="1:1024" s="2" customFormat="1" ht="12" customHeight="1" x14ac:dyDescent="0.2">
      <c r="A131" s="4"/>
      <c r="B131" s="29" t="s">
        <v>134</v>
      </c>
      <c r="C131" s="16" t="s">
        <v>96</v>
      </c>
      <c r="D131" s="2" t="s">
        <v>95</v>
      </c>
      <c r="E131" s="3" t="s">
        <v>10</v>
      </c>
      <c r="G131" s="18" t="s">
        <v>41</v>
      </c>
      <c r="I131" s="4"/>
      <c r="AMJ131"/>
    </row>
    <row r="132" spans="1:1024" s="2" customFormat="1" ht="12" customHeight="1" x14ac:dyDescent="0.2">
      <c r="A132" s="4"/>
      <c r="B132" s="29" t="s">
        <v>134</v>
      </c>
      <c r="C132" s="16" t="s">
        <v>97</v>
      </c>
      <c r="D132" s="2" t="s">
        <v>95</v>
      </c>
      <c r="E132" s="3" t="s">
        <v>10</v>
      </c>
      <c r="G132" s="18" t="s">
        <v>41</v>
      </c>
      <c r="I132" s="4"/>
      <c r="AMJ132"/>
    </row>
    <row r="133" spans="1:1024" s="2" customFormat="1" ht="12" customHeight="1" x14ac:dyDescent="0.2">
      <c r="A133" s="4"/>
      <c r="B133" s="29" t="s">
        <v>134</v>
      </c>
      <c r="C133" s="16" t="s">
        <v>98</v>
      </c>
      <c r="D133" s="2" t="s">
        <v>95</v>
      </c>
      <c r="E133" s="3" t="s">
        <v>10</v>
      </c>
      <c r="G133" s="18" t="s">
        <v>41</v>
      </c>
      <c r="I133" s="4"/>
      <c r="AMJ133"/>
    </row>
    <row r="134" spans="1:1024" s="2" customFormat="1" ht="12" customHeight="1" x14ac:dyDescent="0.2">
      <c r="A134" s="4"/>
      <c r="B134" s="29" t="s">
        <v>134</v>
      </c>
      <c r="C134" s="16" t="s">
        <v>100</v>
      </c>
      <c r="D134" s="2" t="s">
        <v>101</v>
      </c>
      <c r="E134" s="3" t="s">
        <v>10</v>
      </c>
      <c r="G134" s="18" t="s">
        <v>41</v>
      </c>
      <c r="I134" s="4"/>
      <c r="AMJ134"/>
    </row>
    <row r="135" spans="1:1024" s="2" customFormat="1" ht="12" customHeight="1" x14ac:dyDescent="0.2">
      <c r="A135" s="4"/>
      <c r="B135" s="29" t="s">
        <v>134</v>
      </c>
      <c r="C135" s="16" t="s">
        <v>102</v>
      </c>
      <c r="D135" s="2" t="s">
        <v>103</v>
      </c>
      <c r="E135" s="3" t="s">
        <v>10</v>
      </c>
      <c r="G135" s="18" t="s">
        <v>41</v>
      </c>
      <c r="I135" s="4"/>
      <c r="AMJ135"/>
    </row>
    <row r="136" spans="1:1024" s="2" customFormat="1" ht="12" customHeight="1" x14ac:dyDescent="0.2">
      <c r="A136" s="4"/>
      <c r="B136" s="29" t="s">
        <v>134</v>
      </c>
      <c r="C136" s="16" t="s">
        <v>114</v>
      </c>
      <c r="D136" s="2" t="s">
        <v>115</v>
      </c>
      <c r="E136" s="3" t="s">
        <v>10</v>
      </c>
      <c r="G136" s="18" t="s">
        <v>41</v>
      </c>
      <c r="I136" s="4"/>
      <c r="AMJ136"/>
    </row>
    <row r="137" spans="1:1024" s="2" customFormat="1" ht="12" customHeight="1" x14ac:dyDescent="0.2">
      <c r="A137" s="4"/>
      <c r="B137" s="29" t="s">
        <v>134</v>
      </c>
      <c r="C137" s="16" t="s">
        <v>119</v>
      </c>
      <c r="D137" s="2" t="s">
        <v>120</v>
      </c>
      <c r="E137" s="3" t="s">
        <v>6</v>
      </c>
      <c r="G137" s="18" t="s">
        <v>41</v>
      </c>
      <c r="I137" s="4"/>
      <c r="AMJ137"/>
    </row>
    <row r="138" spans="1:1024" s="2" customFormat="1" ht="12" customHeight="1" x14ac:dyDescent="0.2">
      <c r="A138" s="4"/>
      <c r="B138" s="29" t="s">
        <v>134</v>
      </c>
      <c r="C138" s="16" t="s">
        <v>126</v>
      </c>
      <c r="D138" s="2" t="s">
        <v>127</v>
      </c>
      <c r="E138" s="3" t="s">
        <v>10</v>
      </c>
      <c r="G138" s="18" t="s">
        <v>41</v>
      </c>
      <c r="I138" s="4"/>
      <c r="AMJ138"/>
    </row>
    <row r="139" spans="1:1024" s="2" customFormat="1" ht="12" customHeight="1" x14ac:dyDescent="0.2">
      <c r="A139" s="4"/>
      <c r="B139" s="29" t="s">
        <v>134</v>
      </c>
      <c r="C139" s="16" t="s">
        <v>117</v>
      </c>
      <c r="D139" s="2" t="s">
        <v>118</v>
      </c>
      <c r="E139" s="3" t="s">
        <v>5</v>
      </c>
      <c r="G139" s="18" t="s">
        <v>41</v>
      </c>
      <c r="I139" s="4"/>
      <c r="AMJ139"/>
    </row>
    <row r="140" spans="1:1024" x14ac:dyDescent="0.2">
      <c r="A140" s="15"/>
      <c r="B140" s="15" t="s">
        <v>143</v>
      </c>
      <c r="C140" s="15"/>
      <c r="D140" s="15"/>
      <c r="E140" s="15"/>
      <c r="F140" s="15"/>
      <c r="G140" s="15"/>
      <c r="H140" s="15"/>
    </row>
    <row r="141" spans="1:1024" s="2" customFormat="1" ht="12" customHeight="1" x14ac:dyDescent="0.2">
      <c r="A141" s="6"/>
      <c r="B141" s="29" t="s">
        <v>144</v>
      </c>
      <c r="C141" s="16" t="s">
        <v>145</v>
      </c>
      <c r="D141" s="4" t="s">
        <v>49</v>
      </c>
      <c r="E141" s="3" t="s">
        <v>5</v>
      </c>
      <c r="G141" s="18" t="s">
        <v>41</v>
      </c>
      <c r="I141" s="4"/>
      <c r="AMJ141"/>
    </row>
    <row r="142" spans="1:1024" x14ac:dyDescent="0.2">
      <c r="B142" s="29"/>
      <c r="C142" s="16"/>
      <c r="D142" s="2"/>
      <c r="E142" s="3"/>
    </row>
  </sheetData>
  <mergeCells count="36">
    <mergeCell ref="E19:F19"/>
    <mergeCell ref="G19:H19"/>
    <mergeCell ref="E20:F20"/>
    <mergeCell ref="G20:H20"/>
    <mergeCell ref="A9:B20"/>
    <mergeCell ref="C9:C20"/>
    <mergeCell ref="E9:F9"/>
    <mergeCell ref="G9:H9"/>
    <mergeCell ref="E10:F10"/>
    <mergeCell ref="G10:H10"/>
    <mergeCell ref="E11:F11"/>
    <mergeCell ref="G11:H11"/>
    <mergeCell ref="E12:F12"/>
    <mergeCell ref="G12:H12"/>
    <mergeCell ref="E16:F16"/>
    <mergeCell ref="G16:H16"/>
    <mergeCell ref="E17:F17"/>
    <mergeCell ref="G17:H17"/>
    <mergeCell ref="E18:F18"/>
    <mergeCell ref="G18:H18"/>
    <mergeCell ref="E13:F13"/>
    <mergeCell ref="G13:H13"/>
    <mergeCell ref="E14:F14"/>
    <mergeCell ref="G14:H14"/>
    <mergeCell ref="E15:F15"/>
    <mergeCell ref="G15:H15"/>
    <mergeCell ref="A1:B8"/>
    <mergeCell ref="C1:C8"/>
    <mergeCell ref="E1:H1"/>
    <mergeCell ref="E2:H2"/>
    <mergeCell ref="E3:H3"/>
    <mergeCell ref="E4:H4"/>
    <mergeCell ref="E5:H5"/>
    <mergeCell ref="E6:H6"/>
    <mergeCell ref="E7:H7"/>
    <mergeCell ref="E8:H8"/>
  </mergeCells>
  <conditionalFormatting sqref="D10:D19 E22:E24">
    <cfRule type="cellIs" dxfId="139" priority="192" operator="equal">
      <formula>"Minor"</formula>
    </cfRule>
    <cfRule type="cellIs" dxfId="138" priority="193" operator="equal">
      <formula>"Not implemented"</formula>
    </cfRule>
    <cfRule type="cellIs" dxfId="137" priority="194" operator="equal">
      <formula>"Not tested"</formula>
    </cfRule>
    <cfRule type="cellIs" dxfId="136" priority="195" operator="equal">
      <formula>"Not available"</formula>
    </cfRule>
    <cfRule type="cellIs" dxfId="135" priority="196" operator="equal">
      <formula>"Critical"</formula>
    </cfRule>
    <cfRule type="cellIs" dxfId="134" priority="197" operator="equal">
      <formula>"Major"</formula>
    </cfRule>
    <cfRule type="cellIs" dxfId="133" priority="198" operator="equal">
      <formula>"Average"</formula>
    </cfRule>
    <cfRule type="cellIs" dxfId="132" priority="199" operator="equal">
      <formula>"OK"</formula>
    </cfRule>
    <cfRule type="cellIs" dxfId="131" priority="200" operator="equal">
      <formula>"Enhancement"</formula>
    </cfRule>
    <cfRule type="cellIs" dxfId="130" priority="201" operator="equal">
      <formula>"Partially tested"</formula>
    </cfRule>
  </conditionalFormatting>
  <conditionalFormatting sqref="D2:O9 E10:O19 D20:O21 D22 F22:O22 D25:O25 G23:G24">
    <cfRule type="cellIs" dxfId="129" priority="132" operator="equal">
      <formula>"not available"</formula>
    </cfRule>
    <cfRule type="cellIs" dxfId="128" priority="133" operator="equal">
      <formula>"not tested"</formula>
    </cfRule>
    <cfRule type="cellIs" dxfId="127" priority="134" operator="equal">
      <formula>"not implemented"</formula>
    </cfRule>
    <cfRule type="cellIs" dxfId="126" priority="135" operator="equal">
      <formula>"failed"</formula>
    </cfRule>
    <cfRule type="cellIs" dxfId="125" priority="136" operator="equal">
      <formula>"passed"</formula>
    </cfRule>
  </conditionalFormatting>
  <conditionalFormatting sqref="D59:O59">
    <cfRule type="cellIs" dxfId="124" priority="121" operator="equal">
      <formula>"not available"</formula>
    </cfRule>
    <cfRule type="cellIs" dxfId="123" priority="122" operator="equal">
      <formula>"not tested"</formula>
    </cfRule>
    <cfRule type="cellIs" dxfId="122" priority="123" operator="equal">
      <formula>"not implemented"</formula>
    </cfRule>
    <cfRule type="cellIs" dxfId="121" priority="124" operator="equal">
      <formula>"failed"</formula>
    </cfRule>
    <cfRule type="cellIs" dxfId="120" priority="125" operator="equal">
      <formula>"passed"</formula>
    </cfRule>
  </conditionalFormatting>
  <conditionalFormatting sqref="E26">
    <cfRule type="cellIs" dxfId="119" priority="111" operator="equal">
      <formula>"Minor"</formula>
    </cfRule>
    <cfRule type="cellIs" dxfId="118" priority="112" operator="equal">
      <formula>"Not implemented"</formula>
    </cfRule>
    <cfRule type="cellIs" dxfId="117" priority="113" operator="equal">
      <formula>"Not tested"</formula>
    </cfRule>
    <cfRule type="cellIs" dxfId="116" priority="114" operator="equal">
      <formula>"Not available"</formula>
    </cfRule>
    <cfRule type="cellIs" dxfId="115" priority="115" operator="equal">
      <formula>"Critical"</formula>
    </cfRule>
    <cfRule type="cellIs" dxfId="114" priority="116" operator="equal">
      <formula>"Major"</formula>
    </cfRule>
    <cfRule type="cellIs" dxfId="113" priority="117" operator="equal">
      <formula>"Average"</formula>
    </cfRule>
    <cfRule type="cellIs" dxfId="112" priority="118" operator="equal">
      <formula>"OK"</formula>
    </cfRule>
    <cfRule type="cellIs" dxfId="111" priority="119" operator="equal">
      <formula>"Enhancement"</formula>
    </cfRule>
    <cfRule type="cellIs" dxfId="110" priority="120" operator="equal">
      <formula>"Partially tested"</formula>
    </cfRule>
  </conditionalFormatting>
  <conditionalFormatting sqref="E27:E58">
    <cfRule type="cellIs" dxfId="109" priority="101" operator="equal">
      <formula>"Minor"</formula>
    </cfRule>
    <cfRule type="cellIs" dxfId="108" priority="102" operator="equal">
      <formula>"Not implemented"</formula>
    </cfRule>
    <cfRule type="cellIs" dxfId="107" priority="103" operator="equal">
      <formula>"Not tested"</formula>
    </cfRule>
    <cfRule type="cellIs" dxfId="106" priority="104" operator="equal">
      <formula>"Not available"</formula>
    </cfRule>
    <cfRule type="cellIs" dxfId="105" priority="105" operator="equal">
      <formula>"Critical"</formula>
    </cfRule>
    <cfRule type="cellIs" dxfId="104" priority="106" operator="equal">
      <formula>"Major"</formula>
    </cfRule>
    <cfRule type="cellIs" dxfId="103" priority="107" operator="equal">
      <formula>"Average"</formula>
    </cfRule>
    <cfRule type="cellIs" dxfId="102" priority="108" operator="equal">
      <formula>"OK"</formula>
    </cfRule>
    <cfRule type="cellIs" dxfId="101" priority="109" operator="equal">
      <formula>"Enhancement"</formula>
    </cfRule>
    <cfRule type="cellIs" dxfId="100" priority="110" operator="equal">
      <formula>"Partially tested"</formula>
    </cfRule>
  </conditionalFormatting>
  <conditionalFormatting sqref="E60">
    <cfRule type="cellIs" dxfId="99" priority="91" operator="equal">
      <formula>"Minor"</formula>
    </cfRule>
    <cfRule type="cellIs" dxfId="98" priority="92" operator="equal">
      <formula>"Not implemented"</formula>
    </cfRule>
    <cfRule type="cellIs" dxfId="97" priority="93" operator="equal">
      <formula>"Not tested"</formula>
    </cfRule>
    <cfRule type="cellIs" dxfId="96" priority="94" operator="equal">
      <formula>"Not available"</formula>
    </cfRule>
    <cfRule type="cellIs" dxfId="95" priority="95" operator="equal">
      <formula>"Critical"</formula>
    </cfRule>
    <cfRule type="cellIs" dxfId="94" priority="96" operator="equal">
      <formula>"Major"</formula>
    </cfRule>
    <cfRule type="cellIs" dxfId="93" priority="97" operator="equal">
      <formula>"Average"</formula>
    </cfRule>
    <cfRule type="cellIs" dxfId="92" priority="98" operator="equal">
      <formula>"OK"</formula>
    </cfRule>
    <cfRule type="cellIs" dxfId="91" priority="99" operator="equal">
      <formula>"Enhancement"</formula>
    </cfRule>
    <cfRule type="cellIs" dxfId="90" priority="100" operator="equal">
      <formula>"Partially tested"</formula>
    </cfRule>
  </conditionalFormatting>
  <conditionalFormatting sqref="E61:E98">
    <cfRule type="cellIs" dxfId="89" priority="81" operator="equal">
      <formula>"Minor"</formula>
    </cfRule>
    <cfRule type="cellIs" dxfId="88" priority="82" operator="equal">
      <formula>"Not implemented"</formula>
    </cfRule>
    <cfRule type="cellIs" dxfId="87" priority="83" operator="equal">
      <formula>"Not tested"</formula>
    </cfRule>
    <cfRule type="cellIs" dxfId="86" priority="84" operator="equal">
      <formula>"Not available"</formula>
    </cfRule>
    <cfRule type="cellIs" dxfId="85" priority="85" operator="equal">
      <formula>"Critical"</formula>
    </cfRule>
    <cfRule type="cellIs" dxfId="84" priority="86" operator="equal">
      <formula>"Major"</formula>
    </cfRule>
    <cfRule type="cellIs" dxfId="83" priority="87" operator="equal">
      <formula>"Average"</formula>
    </cfRule>
    <cfRule type="cellIs" dxfId="82" priority="88" operator="equal">
      <formula>"OK"</formula>
    </cfRule>
    <cfRule type="cellIs" dxfId="81" priority="89" operator="equal">
      <formula>"Enhancement"</formula>
    </cfRule>
    <cfRule type="cellIs" dxfId="80" priority="90" operator="equal">
      <formula>"Partially tested"</formula>
    </cfRule>
  </conditionalFormatting>
  <conditionalFormatting sqref="E99:E105">
    <cfRule type="cellIs" dxfId="79" priority="71" operator="equal">
      <formula>"Minor"</formula>
    </cfRule>
    <cfRule type="cellIs" dxfId="78" priority="72" operator="equal">
      <formula>"Not implemented"</formula>
    </cfRule>
    <cfRule type="cellIs" dxfId="77" priority="73" operator="equal">
      <formula>"Not tested"</formula>
    </cfRule>
    <cfRule type="cellIs" dxfId="76" priority="74" operator="equal">
      <formula>"Not available"</formula>
    </cfRule>
    <cfRule type="cellIs" dxfId="75" priority="75" operator="equal">
      <formula>"Critical"</formula>
    </cfRule>
    <cfRule type="cellIs" dxfId="74" priority="76" operator="equal">
      <formula>"Major"</formula>
    </cfRule>
    <cfRule type="cellIs" dxfId="73" priority="77" operator="equal">
      <formula>"Average"</formula>
    </cfRule>
    <cfRule type="cellIs" dxfId="72" priority="78" operator="equal">
      <formula>"OK"</formula>
    </cfRule>
    <cfRule type="cellIs" dxfId="71" priority="79" operator="equal">
      <formula>"Enhancement"</formula>
    </cfRule>
    <cfRule type="cellIs" dxfId="70" priority="80" operator="equal">
      <formula>"Partially tested"</formula>
    </cfRule>
  </conditionalFormatting>
  <conditionalFormatting sqref="D106:O106">
    <cfRule type="cellIs" dxfId="69" priority="66" operator="equal">
      <formula>"not available"</formula>
    </cfRule>
    <cfRule type="cellIs" dxfId="68" priority="67" operator="equal">
      <formula>"not tested"</formula>
    </cfRule>
    <cfRule type="cellIs" dxfId="67" priority="68" operator="equal">
      <formula>"not implemented"</formula>
    </cfRule>
    <cfRule type="cellIs" dxfId="66" priority="69" operator="equal">
      <formula>"failed"</formula>
    </cfRule>
    <cfRule type="cellIs" dxfId="65" priority="70" operator="equal">
      <formula>"passed"</formula>
    </cfRule>
  </conditionalFormatting>
  <conditionalFormatting sqref="E107">
    <cfRule type="cellIs" dxfId="64" priority="56" operator="equal">
      <formula>"Minor"</formula>
    </cfRule>
    <cfRule type="cellIs" dxfId="63" priority="57" operator="equal">
      <formula>"Not implemented"</formula>
    </cfRule>
    <cfRule type="cellIs" dxfId="62" priority="58" operator="equal">
      <formula>"Not tested"</formula>
    </cfRule>
    <cfRule type="cellIs" dxfId="61" priority="59" operator="equal">
      <formula>"Not available"</formula>
    </cfRule>
    <cfRule type="cellIs" dxfId="60" priority="60" operator="equal">
      <formula>"Critical"</formula>
    </cfRule>
    <cfRule type="cellIs" dxfId="59" priority="61" operator="equal">
      <formula>"Major"</formula>
    </cfRule>
    <cfRule type="cellIs" dxfId="58" priority="62" operator="equal">
      <formula>"Average"</formula>
    </cfRule>
    <cfRule type="cellIs" dxfId="57" priority="63" operator="equal">
      <formula>"OK"</formula>
    </cfRule>
    <cfRule type="cellIs" dxfId="56" priority="64" operator="equal">
      <formula>"Enhancement"</formula>
    </cfRule>
    <cfRule type="cellIs" dxfId="55" priority="65" operator="equal">
      <formula>"Partially tested"</formula>
    </cfRule>
  </conditionalFormatting>
  <conditionalFormatting sqref="E108:E139">
    <cfRule type="cellIs" dxfId="54" priority="46" operator="equal">
      <formula>"Minor"</formula>
    </cfRule>
    <cfRule type="cellIs" dxfId="53" priority="47" operator="equal">
      <formula>"Not implemented"</formula>
    </cfRule>
    <cfRule type="cellIs" dxfId="52" priority="48" operator="equal">
      <formula>"Not tested"</formula>
    </cfRule>
    <cfRule type="cellIs" dxfId="51" priority="49" operator="equal">
      <formula>"Not available"</formula>
    </cfRule>
    <cfRule type="cellIs" dxfId="50" priority="50" operator="equal">
      <formula>"Critical"</formula>
    </cfRule>
    <cfRule type="cellIs" dxfId="49" priority="51" operator="equal">
      <formula>"Major"</formula>
    </cfRule>
    <cfRule type="cellIs" dxfId="48" priority="52" operator="equal">
      <formula>"Average"</formula>
    </cfRule>
    <cfRule type="cellIs" dxfId="47" priority="53" operator="equal">
      <formula>"OK"</formula>
    </cfRule>
    <cfRule type="cellIs" dxfId="46" priority="54" operator="equal">
      <formula>"Enhancement"</formula>
    </cfRule>
    <cfRule type="cellIs" dxfId="45" priority="55" operator="equal">
      <formula>"Partially tested"</formula>
    </cfRule>
  </conditionalFormatting>
  <conditionalFormatting sqref="D140:O140">
    <cfRule type="cellIs" dxfId="44" priority="41" operator="equal">
      <formula>"not available"</formula>
    </cfRule>
    <cfRule type="cellIs" dxfId="43" priority="42" operator="equal">
      <formula>"not tested"</formula>
    </cfRule>
    <cfRule type="cellIs" dxfId="42" priority="43" operator="equal">
      <formula>"not implemented"</formula>
    </cfRule>
    <cfRule type="cellIs" dxfId="41" priority="44" operator="equal">
      <formula>"failed"</formula>
    </cfRule>
    <cfRule type="cellIs" dxfId="40" priority="45" operator="equal">
      <formula>"passed"</formula>
    </cfRule>
  </conditionalFormatting>
  <conditionalFormatting sqref="E141">
    <cfRule type="cellIs" dxfId="39" priority="31" operator="equal">
      <formula>"Minor"</formula>
    </cfRule>
    <cfRule type="cellIs" dxfId="38" priority="32" operator="equal">
      <formula>"Not implemented"</formula>
    </cfRule>
    <cfRule type="cellIs" dxfId="37" priority="33" operator="equal">
      <formula>"Not tested"</formula>
    </cfRule>
    <cfRule type="cellIs" dxfId="36" priority="34" operator="equal">
      <formula>"Not available"</formula>
    </cfRule>
    <cfRule type="cellIs" dxfId="35" priority="35" operator="equal">
      <formula>"Critical"</formula>
    </cfRule>
    <cfRule type="cellIs" dxfId="34" priority="36" operator="equal">
      <formula>"Major"</formula>
    </cfRule>
    <cfRule type="cellIs" dxfId="33" priority="37" operator="equal">
      <formula>"Average"</formula>
    </cfRule>
    <cfRule type="cellIs" dxfId="32" priority="38" operator="equal">
      <formula>"OK"</formula>
    </cfRule>
    <cfRule type="cellIs" dxfId="31" priority="39" operator="equal">
      <formula>"Enhancement"</formula>
    </cfRule>
    <cfRule type="cellIs" dxfId="30" priority="40" operator="equal">
      <formula>"Partially tested"</formula>
    </cfRule>
  </conditionalFormatting>
  <conditionalFormatting sqref="E142">
    <cfRule type="cellIs" dxfId="29" priority="21" operator="equal">
      <formula>"Minor"</formula>
    </cfRule>
    <cfRule type="cellIs" dxfId="28" priority="22" operator="equal">
      <formula>"Not implemented"</formula>
    </cfRule>
    <cfRule type="cellIs" dxfId="27" priority="23" operator="equal">
      <formula>"Not tested"</formula>
    </cfRule>
    <cfRule type="cellIs" dxfId="26" priority="24" operator="equal">
      <formula>"Not available"</formula>
    </cfRule>
    <cfRule type="cellIs" dxfId="25" priority="25" operator="equal">
      <formula>"Critical"</formula>
    </cfRule>
    <cfRule type="cellIs" dxfId="24" priority="26" operator="equal">
      <formula>"Major"</formula>
    </cfRule>
    <cfRule type="cellIs" dxfId="23" priority="27" operator="equal">
      <formula>"Average"</formula>
    </cfRule>
    <cfRule type="cellIs" dxfId="22" priority="28" operator="equal">
      <formula>"OK"</formula>
    </cfRule>
    <cfRule type="cellIs" dxfId="21" priority="29" operator="equal">
      <formula>"Enhancement"</formula>
    </cfRule>
    <cfRule type="cellIs" dxfId="20" priority="30" operator="equal">
      <formula>"Partially tested"</formula>
    </cfRule>
  </conditionalFormatting>
  <conditionalFormatting sqref="G26:G58">
    <cfRule type="cellIs" dxfId="19" priority="16" operator="equal">
      <formula>"not available"</formula>
    </cfRule>
    <cfRule type="cellIs" dxfId="18" priority="17" operator="equal">
      <formula>"not tested"</formula>
    </cfRule>
    <cfRule type="cellIs" dxfId="17" priority="18" operator="equal">
      <formula>"not implemented"</formula>
    </cfRule>
    <cfRule type="cellIs" dxfId="16" priority="19" operator="equal">
      <formula>"failed"</formula>
    </cfRule>
    <cfRule type="cellIs" dxfId="15" priority="20" operator="equal">
      <formula>"passed"</formula>
    </cfRule>
  </conditionalFormatting>
  <conditionalFormatting sqref="G60:G105">
    <cfRule type="cellIs" dxfId="14" priority="11" operator="equal">
      <formula>"not available"</formula>
    </cfRule>
    <cfRule type="cellIs" dxfId="13" priority="12" operator="equal">
      <formula>"not tested"</formula>
    </cfRule>
    <cfRule type="cellIs" dxfId="12" priority="13" operator="equal">
      <formula>"not implemented"</formula>
    </cfRule>
    <cfRule type="cellIs" dxfId="11" priority="14" operator="equal">
      <formula>"failed"</formula>
    </cfRule>
    <cfRule type="cellIs" dxfId="10" priority="15" operator="equal">
      <formula>"passed"</formula>
    </cfRule>
  </conditionalFormatting>
  <conditionalFormatting sqref="G107:G139">
    <cfRule type="cellIs" dxfId="9" priority="6" operator="equal">
      <formula>"not available"</formula>
    </cfRule>
    <cfRule type="cellIs" dxfId="8" priority="7" operator="equal">
      <formula>"not tested"</formula>
    </cfRule>
    <cfRule type="cellIs" dxfId="7" priority="8" operator="equal">
      <formula>"not implemented"</formula>
    </cfRule>
    <cfRule type="cellIs" dxfId="6" priority="9" operator="equal">
      <formula>"failed"</formula>
    </cfRule>
    <cfRule type="cellIs" dxfId="5" priority="10" operator="equal">
      <formula>"passed"</formula>
    </cfRule>
  </conditionalFormatting>
  <conditionalFormatting sqref="G141">
    <cfRule type="cellIs" dxfId="4" priority="1" operator="equal">
      <formula>"not available"</formula>
    </cfRule>
    <cfRule type="cellIs" dxfId="3" priority="2" operator="equal">
      <formula>"not tested"</formula>
    </cfRule>
    <cfRule type="cellIs" dxfId="2" priority="3" operator="equal">
      <formula>"not implemented"</formula>
    </cfRule>
    <cfRule type="cellIs" dxfId="1" priority="4" operator="equal">
      <formula>"failed"</formula>
    </cfRule>
    <cfRule type="cellIs" dxfId="0" priority="5" operator="equal">
      <formula>"passed"</formula>
    </cfRule>
  </conditionalFormatting>
  <dataValidations count="7">
    <dataValidation type="list" allowBlank="1" showInputMessage="1" showErrorMessage="1" sqref="E2:H2" xr:uid="{00000000-0002-0000-0200-000000000000}">
      <formula1>Test_types</formula1>
      <formula2>0</formula2>
    </dataValidation>
    <dataValidation type="list" allowBlank="1" showInputMessage="1" showErrorMessage="1" sqref="E7:H7" xr:uid="{00000000-0002-0000-0200-000001000000}">
      <formula1>Browser_list</formula1>
      <formula2>0</formula2>
    </dataValidation>
    <dataValidation type="list" allowBlank="1" showInputMessage="1" showErrorMessage="1" sqref="A26 A22 A60 A107 A141" xr:uid="{00000000-0002-0000-0200-000002000000}">
      <formula1>Test_coverage</formula1>
      <formula2>0</formula2>
    </dataValidation>
    <dataValidation type="list" allowBlank="1" showInputMessage="1" showErrorMessage="1" sqref="E4:H4" xr:uid="{00000000-0002-0000-0200-000003000000}">
      <formula1>Test_Team</formula1>
      <formula2>0</formula2>
    </dataValidation>
    <dataValidation type="list" allowBlank="1" showInputMessage="1" showErrorMessage="1" sqref="E5:H5" xr:uid="{00000000-0002-0000-0200-000004000000}">
      <formula1>Project_URL</formula1>
      <formula2>0</formula2>
    </dataValidation>
    <dataValidation type="list" allowBlank="1" showInputMessage="1" showErrorMessage="1" sqref="E6:H6" xr:uid="{00000000-0002-0000-0200-000005000000}">
      <formula1>Environment_OS</formula1>
      <formula2>0</formula2>
    </dataValidation>
    <dataValidation type="list" allowBlank="1" showInputMessage="1" showErrorMessage="1" sqref="E60:E105 E26:E58 E107:E139 E141:E142 E22:E24" xr:uid="{00000000-0002-0000-0200-000006000000}">
      <formula1>$D$11:$D$20</formula1>
      <formula2>0</formula2>
    </dataValidation>
  </dataValidations>
  <pageMargins left="0.7" right="0.7" top="0.75" bottom="0.75" header="0.51180555555555496" footer="0.51180555555555496"/>
  <pageSetup paperSize="9" firstPageNumber="0" orientation="portrait" horizontalDpi="300" verticalDpi="300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91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Work</vt:lpstr>
      <vt:lpstr>Work!_FilterDatabase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>DailyFitLog Acceptance sheet</cp:keywords>
  <dc:description/>
  <cp:lastModifiedBy>Farhana Islam Chowdhury</cp:lastModifiedBy>
  <cp:revision>21</cp:revision>
  <dcterms:created xsi:type="dcterms:W3CDTF">2007-06-26T08:13:00Z</dcterms:created>
  <dcterms:modified xsi:type="dcterms:W3CDTF">2025-04-05T12:14:12Z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ntentType">
    <vt:lpwstr>Document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Owner">
    <vt:lpwstr/>
  </property>
  <property fmtid="{D5CDD505-2E9C-101B-9397-08002B2CF9AE}" pid="8" name="SPSDescription">
    <vt:lpwstr/>
  </property>
  <property fmtid="{D5CDD505-2E9C-101B-9397-08002B2CF9AE}" pid="9" name="ScaleCrop">
    <vt:bool>false</vt:bool>
  </property>
  <property fmtid="{D5CDD505-2E9C-101B-9397-08002B2CF9AE}" pid="10" name="ShareDoc">
    <vt:bool>false</vt:bool>
  </property>
  <property fmtid="{D5CDD505-2E9C-101B-9397-08002B2CF9AE}" pid="11" name="State">
    <vt:lpwstr>Active</vt:lpwstr>
  </property>
  <property fmtid="{D5CDD505-2E9C-101B-9397-08002B2CF9AE}" pid="12" name="Status">
    <vt:lpwstr/>
  </property>
</Properties>
</file>