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F:\"/>
    </mc:Choice>
  </mc:AlternateContent>
  <xr:revisionPtr revIDLastSave="0" documentId="8_{5333BF7F-0C08-4294-973D-21177595418F}" xr6:coauthVersionLast="47" xr6:coauthVersionMax="47" xr10:uidLastSave="{00000000-0000-0000-0000-000000000000}"/>
  <bookViews>
    <workbookView xWindow="-120" yWindow="-120" windowWidth="29040" windowHeight="15840" tabRatio="500" activeTab="2" xr2:uid="{00000000-000D-0000-FFFF-FFFF00000000}"/>
  </bookViews>
  <sheets>
    <sheet name="Description" sheetId="1" r:id="rId1"/>
    <sheet name="Build Info" sheetId="2" r:id="rId2"/>
    <sheet name="Work" sheetId="5" r:id="rId3"/>
    <sheet name="Testing Plan" sheetId="4" r:id="rId4"/>
  </sheets>
  <definedNames>
    <definedName name="B_Critical">OFFSET('Build Info'!Build_Number,49,0)</definedName>
    <definedName name="Blocker">OFFSET('Build Info'!Build_Number,48,0)</definedName>
    <definedName name="Browser_list">'Testing Plan'!$B$12:$B$21</definedName>
    <definedName name="Build_Number" localSheetId="1">OFFSET('Build Info'!$B$3,0,0,1,COUNTA('Build Info'!$3:$3)-2)</definedName>
    <definedName name="Defects_Total">OFFSET('Build Info'!Build_Number,26,0)</definedName>
    <definedName name="Environment_OS">'Testing Plan'!$B$3:$B$11</definedName>
    <definedName name="Major">OFFSET('Build Info'!Build_Number,50,0)</definedName>
    <definedName name="Minor">OFFSET('Build Info'!Build_Number,51,0)</definedName>
    <definedName name="Project_URL">'Testing Plan'!$K$3:$K$23</definedName>
    <definedName name="Quality">OFFSET('Build Info'!Build_Number,8,0)</definedName>
    <definedName name="Quality_range">Description!$A$92:$A$98</definedName>
    <definedName name="Size">OFFSET('Build Info'!Build_Number,6,0)</definedName>
    <definedName name="Test_coverage">Description!$B$11:$B$13</definedName>
    <definedName name="Test_status">Description!$A$79:$A$83</definedName>
    <definedName name="Test_Team">'Testing Plan'!$H$3:$H$23</definedName>
    <definedName name="Test_types">Description!$B$11:$B$19</definedName>
    <definedName name="Trivial">OFFSET('Build Info'!Build_Number,52,0)</definedName>
  </definedNames>
  <calcPr calcId="191029"/>
</workbook>
</file>

<file path=xl/calcChain.xml><?xml version="1.0" encoding="utf-8"?>
<calcChain xmlns="http://schemas.openxmlformats.org/spreadsheetml/2006/main">
  <c r="E20" i="5" l="1"/>
  <c r="E19" i="5"/>
  <c r="E18" i="5"/>
  <c r="E17" i="5"/>
  <c r="E16" i="5"/>
  <c r="E15" i="5"/>
  <c r="E14" i="5"/>
  <c r="E13" i="5"/>
  <c r="E12" i="5"/>
  <c r="E11" i="5"/>
  <c r="E10" i="5"/>
  <c r="E9" i="5" l="1"/>
  <c r="G14" i="5" s="1"/>
  <c r="J56" i="2"/>
  <c r="I56" i="2"/>
  <c r="H56" i="2"/>
  <c r="G56" i="2"/>
  <c r="F56" i="2"/>
  <c r="E56" i="2"/>
  <c r="D56" i="2"/>
  <c r="C56" i="2"/>
  <c r="B56" i="2"/>
  <c r="F47" i="2"/>
  <c r="E47" i="2"/>
  <c r="C47" i="2"/>
  <c r="C40" i="2"/>
  <c r="J29" i="2"/>
  <c r="I29" i="2"/>
  <c r="H29" i="2"/>
  <c r="G29" i="2"/>
  <c r="F29" i="2"/>
  <c r="E29" i="2"/>
  <c r="D29" i="2"/>
  <c r="C29" i="2"/>
  <c r="B29" i="2"/>
  <c r="J11" i="2"/>
  <c r="I11" i="2"/>
  <c r="H11" i="2"/>
  <c r="G11" i="2"/>
  <c r="F11" i="2"/>
  <c r="E11" i="2"/>
  <c r="D11" i="2"/>
  <c r="C11" i="2"/>
  <c r="B11" i="2"/>
  <c r="G12" i="5" l="1"/>
  <c r="G17" i="5"/>
  <c r="G15" i="5"/>
  <c r="G13" i="5"/>
  <c r="G10" i="5"/>
  <c r="G11" i="5"/>
  <c r="G1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8" authorId="0" shapeId="0" xr:uid="{00000000-0006-0000-0000-000006000000}">
      <text>
        <r>
          <rPr>
            <sz val="9"/>
            <color rgb="FF000000"/>
            <rFont val="Tahoma"/>
            <family val="2"/>
            <charset val="204"/>
          </rPr>
          <t>It is recommended not to merge columns with different test types.</t>
        </r>
      </text>
    </comment>
    <comment ref="B19" authorId="0" shapeId="0" xr:uid="{00000000-0006-0000-0000-000007000000}">
      <text>
        <r>
          <rPr>
            <sz val="9"/>
            <color rgb="FF000000"/>
            <rFont val="Tahoma"/>
            <family val="2"/>
            <charset val="204"/>
          </rPr>
          <t>It is recommended not to merge columns with different test types.</t>
        </r>
      </text>
    </comment>
    <comment ref="A92" authorId="0" shapeId="0" xr:uid="{00000000-0006-0000-0000-000001000000}">
      <text>
        <r>
          <rPr>
            <sz val="9"/>
            <color rgb="FF000000"/>
            <rFont val="Tahoma"/>
            <family val="2"/>
            <charset val="204"/>
          </rPr>
          <t>Required</t>
        </r>
      </text>
    </comment>
    <comment ref="A94" authorId="0" shapeId="0" xr:uid="{00000000-0006-0000-0000-000002000000}">
      <text>
        <r>
          <rPr>
            <sz val="9"/>
            <color rgb="FF000000"/>
            <rFont val="Tahoma"/>
            <family val="2"/>
            <charset val="204"/>
          </rPr>
          <t>Required</t>
        </r>
      </text>
    </comment>
    <comment ref="A96" authorId="0" shapeId="0" xr:uid="{00000000-0006-0000-0000-000003000000}">
      <text>
        <r>
          <rPr>
            <sz val="9"/>
            <color rgb="FF000000"/>
            <rFont val="Tahoma"/>
            <family val="2"/>
            <charset val="204"/>
          </rPr>
          <t>Required</t>
        </r>
      </text>
    </comment>
    <comment ref="A97" authorId="0" shapeId="0" xr:uid="{00000000-0006-0000-0000-000004000000}">
      <text>
        <r>
          <rPr>
            <sz val="9"/>
            <color rgb="FF000000"/>
            <rFont val="Tahoma"/>
            <family val="2"/>
            <charset val="204"/>
          </rPr>
          <t>Required</t>
        </r>
      </text>
    </comment>
    <comment ref="A98" authorId="0" shapeId="0" xr:uid="{00000000-0006-0000-0000-000005000000}">
      <text>
        <r>
          <rPr>
            <sz val="9"/>
            <color rgb="FF000000"/>
            <rFont val="Tahoma"/>
            <family val="2"/>
            <charset val="204"/>
          </rPr>
          <t>Required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B20E5AA3-3CA0-4900-91CA-847025EB4BE3}">
      <text>
        <r>
          <rPr>
            <sz val="9"/>
            <color rgb="FF000000"/>
            <rFont val="Tahoma"/>
            <family val="2"/>
            <charset val="204"/>
          </rPr>
          <t>required</t>
        </r>
      </text>
    </comment>
    <comment ref="D2" authorId="0" shapeId="0" xr:uid="{2B4422C7-E630-4FF5-B10A-E7A469F90A01}">
      <text>
        <r>
          <rPr>
            <sz val="9"/>
            <color rgb="FF000000"/>
            <rFont val="Tahoma"/>
            <family val="2"/>
            <charset val="204"/>
          </rPr>
          <t>required</t>
        </r>
      </text>
    </comment>
    <comment ref="D3" authorId="0" shapeId="0" xr:uid="{743BF25A-E83F-41D7-9651-7518CEB86927}">
      <text>
        <r>
          <rPr>
            <sz val="9"/>
            <color rgb="FF000000"/>
            <rFont val="Tahoma"/>
            <family val="2"/>
            <charset val="204"/>
          </rPr>
          <t>required</t>
        </r>
      </text>
    </comment>
    <comment ref="D4" authorId="0" shapeId="0" xr:uid="{A8692504-A83C-4931-84EF-6B57F1AA9A91}">
      <text>
        <r>
          <rPr>
            <sz val="9"/>
            <color rgb="FF000000"/>
            <rFont val="Tahoma"/>
            <family val="2"/>
            <charset val="204"/>
          </rPr>
          <t>required</t>
        </r>
      </text>
    </comment>
    <comment ref="D5" authorId="0" shapeId="0" xr:uid="{BD42270E-085B-487F-A69D-05D374957A66}">
      <text>
        <r>
          <rPr>
            <sz val="9"/>
            <color rgb="FF000000"/>
            <rFont val="Tahoma"/>
            <family val="2"/>
            <charset val="204"/>
          </rPr>
          <t>required</t>
        </r>
      </text>
    </comment>
  </commentList>
</comments>
</file>

<file path=xl/sharedStrings.xml><?xml version="1.0" encoding="utf-8"?>
<sst xmlns="http://schemas.openxmlformats.org/spreadsheetml/2006/main" count="1888" uniqueCount="608">
  <si>
    <t>No Need to Edit  (EXAMPLE)</t>
  </si>
  <si>
    <t>Test Survey contains information about all tests and their results.</t>
  </si>
  <si>
    <t>Test Survey should be sent as an attach to PM, TM and PC after the MAT, the New Features Testing (if an acceptance test will not be executed) and the Acceptance Test.</t>
  </si>
  <si>
    <t>A common description of the quality of the build in accordance with last testing type should be included in such letters.</t>
  </si>
  <si>
    <t>Build Info &amp; Testing tabs description</t>
  </si>
  <si>
    <t>Build Information</t>
  </si>
  <si>
    <t>Build Number</t>
  </si>
  <si>
    <t>The number of the build that was tested.</t>
  </si>
  <si>
    <t>Test type</t>
  </si>
  <si>
    <t>Smoke Test</t>
  </si>
  <si>
    <t xml:space="preserve">A subset of all defined/planned test cases that cover the main functionality of a component or system, to ascertaining that the most crucial functions of a program work, but not bothering with finer details. </t>
  </si>
  <si>
    <t>MAT</t>
  </si>
  <si>
    <r>
      <rPr>
        <b/>
        <sz val="8"/>
        <rFont val="Arial"/>
        <family val="2"/>
        <charset val="204"/>
      </rPr>
      <t>Minimal Acceptance Test</t>
    </r>
    <r>
      <rPr>
        <sz val="8"/>
        <rFont val="Arial"/>
        <family val="2"/>
        <charset val="204"/>
      </rPr>
      <t xml:space="preserve">: A test directed to check that all application functions can be performed with correct data.
Check if all application features can be used under correct conditions. For complex and large applications, a limited set of functions and scenarios is used. </t>
    </r>
  </si>
  <si>
    <t>AT</t>
  </si>
  <si>
    <r>
      <rPr>
        <b/>
        <sz val="8"/>
        <rFont val="Arial"/>
        <family val="2"/>
        <charset val="204"/>
      </rPr>
      <t>Full Acceptance Test</t>
    </r>
    <r>
      <rPr>
        <sz val="8"/>
        <rFont val="Arial"/>
        <family val="2"/>
        <charset val="204"/>
      </rPr>
      <t xml:space="preserve">: A test directed to verify that the software can be used by end users to perform the functions and tasks for which the software was built under any conditions.
Business logic + functionality + form behaviour + GUI test + Usability test + localisation test (if applicable) — a complete test of the functionality and interface under any conditions (positive and negative testing). All these tests make up a maximal set for testing, but it can also comprise one or several parts (depending on the end-users aims while using the product). </t>
    </r>
  </si>
  <si>
    <t>NFT</t>
  </si>
  <si>
    <r>
      <rPr>
        <b/>
        <sz val="8"/>
        <rFont val="Arial"/>
        <family val="2"/>
        <charset val="204"/>
      </rPr>
      <t>Full Acceptance Test of New Features</t>
    </r>
    <r>
      <rPr>
        <sz val="8"/>
        <rFont val="Arial"/>
        <family val="2"/>
        <charset val="204"/>
      </rPr>
      <t xml:space="preserve">: A test directed to verify if the feature is completely and correctly implemented and if the logic of the product is not affected.
Check if all application features can be used under correct conditions. For complex and large applications, a limited set of functions and scenarios is used. </t>
    </r>
  </si>
  <si>
    <t>DV</t>
  </si>
  <si>
    <r>
      <rPr>
        <b/>
        <sz val="8"/>
        <rFont val="Arial"/>
        <family val="2"/>
        <charset val="204"/>
      </rPr>
      <t>Defects Validation</t>
    </r>
    <r>
      <rPr>
        <sz val="8"/>
        <rFont val="Arial"/>
        <family val="2"/>
        <charset val="204"/>
      </rPr>
      <t xml:space="preserve">: A test directed to check all the defects that were resolved against the current build.
Testing of the feature that contained the fixed defect. </t>
    </r>
  </si>
  <si>
    <t>Regression Test</t>
  </si>
  <si>
    <t xml:space="preserve">Testing of a previously tested program following modification to ensure that defects have not been introduced or uncovered in unchanged areas of the software, as a result of the changes made. It is performed when the software or its environment is changed. </t>
  </si>
  <si>
    <t>Crossbrowser Test</t>
  </si>
  <si>
    <t xml:space="preserve">Testing of the program to determine if it's functional on different internet browsers. </t>
  </si>
  <si>
    <t>Add test type if it's not on the list.</t>
  </si>
  <si>
    <t>Test date</t>
  </si>
  <si>
    <t>Date range when the tests were performed.</t>
  </si>
  <si>
    <t>Tester</t>
  </si>
  <si>
    <t>Testers who performed tests.</t>
  </si>
  <si>
    <t>Environment / OS</t>
  </si>
  <si>
    <t>Environment / OS on which the tests were performed.</t>
  </si>
  <si>
    <t>Browser</t>
  </si>
  <si>
    <t>Browser on which the tests were performed.</t>
  </si>
  <si>
    <t>Project Size</t>
  </si>
  <si>
    <t>Subjective metric set for the first build by QA Manager for further tracking of quality.</t>
  </si>
  <si>
    <t>Quality</t>
  </si>
  <si>
    <t>Subjective quality rate of the build.</t>
  </si>
  <si>
    <t>Quality rate</t>
  </si>
  <si>
    <t>Calculated quality of the build.</t>
  </si>
  <si>
    <t>Total defects quantity</t>
  </si>
  <si>
    <t>Quantity of all active defects in Jira by the end of testing.</t>
  </si>
  <si>
    <t>New defects quantity</t>
  </si>
  <si>
    <t>Quantity of active defects in Jira by the end of testing found in the current build.</t>
  </si>
  <si>
    <t>Comments</t>
  </si>
  <si>
    <t>Any comments that are needed.</t>
  </si>
  <si>
    <t>New defects found</t>
  </si>
  <si>
    <t>Quantity of active defects by the end of testing found in the current build.</t>
  </si>
  <si>
    <t>With high severity</t>
  </si>
  <si>
    <t>Quantity of active defects with high severity (Average, Major, Critical) by the end of testing found in the current build.</t>
  </si>
  <si>
    <t>Jira defects status report</t>
  </si>
  <si>
    <t>Open</t>
  </si>
  <si>
    <t>Quantity of defects having "Open" state by the end of testing (the issue is open and ready for the assignee to start work on it).</t>
  </si>
  <si>
    <t>In Progress</t>
  </si>
  <si>
    <t>Quantity of defects having "In Progress" state by the end of testing (this issue is being actively worked on at the moment by the assignee).</t>
  </si>
  <si>
    <t>Resolved</t>
  </si>
  <si>
    <t>Quantity of defects having "Resolved" state by the end of testing (A resolution has been taken, and it is awaiting verification by reporter. From here issues are either reopened, or are closed).</t>
  </si>
  <si>
    <t>Postponed</t>
  </si>
  <si>
    <t>Quantity of defects having "Postponed" state by the end of testing.</t>
  </si>
  <si>
    <t>To be reformulated</t>
  </si>
  <si>
    <t>Quantity of defects having "To be reformulated" state by the end of testing.</t>
  </si>
  <si>
    <t>Total</t>
  </si>
  <si>
    <t>Total quantity of active defects in JIRA.</t>
  </si>
  <si>
    <t>Defect validation report</t>
  </si>
  <si>
    <t>Number of checked defects</t>
  </si>
  <si>
    <t>Quantity of defects checked in the current build.</t>
  </si>
  <si>
    <t>Reject: Critical</t>
  </si>
  <si>
    <t>Quantity of rejected defects with "Critical" severity in the current build.</t>
  </si>
  <si>
    <t>Reject: Major</t>
  </si>
  <si>
    <t>Quantity of rejected defects with "Major" severity in the current build.</t>
  </si>
  <si>
    <t>Reject: Average</t>
  </si>
  <si>
    <t>Quantity of rejected defects with "Average" severity in the current build.</t>
  </si>
  <si>
    <t>Reject: Minor</t>
  </si>
  <si>
    <t>Quantity of rejected defects with "Minor" severity in the current build.</t>
  </si>
  <si>
    <t>Reject: Enhancement</t>
  </si>
  <si>
    <t>Quantity of rejected defects with "Enhancement" severity in the current build.</t>
  </si>
  <si>
    <t>Not checked</t>
  </si>
  <si>
    <t>Quantity of defects required to be checked but not checked.</t>
  </si>
  <si>
    <t>Percent of Rejects</t>
  </si>
  <si>
    <t>Percentage of rejected defects.</t>
  </si>
  <si>
    <t>CR validation report</t>
  </si>
  <si>
    <t>Number of checked CRs</t>
  </si>
  <si>
    <t>Quantity of CRs checked in the current build.</t>
  </si>
  <si>
    <t>Rejected</t>
  </si>
  <si>
    <t>Quantity of rejected CRs in the current build.</t>
  </si>
  <si>
    <t>Quantity of CRs required to be checked but not checked.</t>
  </si>
  <si>
    <t>Percentage of rejected CRs.</t>
  </si>
  <si>
    <t>Jira defects severity report</t>
  </si>
  <si>
    <t>Critical</t>
  </si>
  <si>
    <t>Quantity of active defects with "Critical" severity by the end of testing.</t>
  </si>
  <si>
    <t>Major</t>
  </si>
  <si>
    <t>Quantity of active defects with "Major" severity by the end of testing.</t>
  </si>
  <si>
    <t>Average</t>
  </si>
  <si>
    <t>Quantity of active defects with "Average" severity by the end of testing.</t>
  </si>
  <si>
    <t>Minor</t>
  </si>
  <si>
    <t>Quantity of active defects with "Minor" severity by the end of testing.</t>
  </si>
  <si>
    <t>Enhancement</t>
  </si>
  <si>
    <t>Quantity of active defects with "Enhancement" severity by the end of testing.</t>
  </si>
  <si>
    <t>Results used by the tester when filling cells of the Test Survey</t>
  </si>
  <si>
    <t>OK</t>
  </si>
  <si>
    <t>The case is working correctly.</t>
  </si>
  <si>
    <t>Partially tested</t>
  </si>
  <si>
    <t>The case is partially tested.</t>
  </si>
  <si>
    <t>Not available</t>
  </si>
  <si>
    <t>Function is not available for test.</t>
  </si>
  <si>
    <t>Not implemented</t>
  </si>
  <si>
    <t>Function has been not implemented yet.</t>
  </si>
  <si>
    <t>Not tested</t>
  </si>
  <si>
    <t>Function has not been tested.</t>
  </si>
  <si>
    <t>Build quality range</t>
  </si>
  <si>
    <t>High</t>
  </si>
  <si>
    <t>Applies to MAT, AT, NFT, Regression test, Crossbrowser test. 
A few Enhancement/minor GUI problems exist in the application, the application works as designed, and conforms the end-user’s requirements.</t>
  </si>
  <si>
    <t>Above Medium</t>
  </si>
  <si>
    <t xml:space="preserve">Applies to MAT, AT, NFT, Regression test, Crossbrowser test. 
Some minor issues exist in the application. It works as designed and these defects do not affect seriously end-user’s work. Insignificant functional or GUI issues exist, fixing of which would slightly improve a use case behavior or performance. The use cases complete as designed. </t>
  </si>
  <si>
    <t>Medium</t>
  </si>
  <si>
    <t xml:space="preserve">Applies to MAT, AT, NFT, Regression test, Crossbrowser test. 
A quantity of minor and a few Average problems disrupting the normal user’s work. There are issues which affects functional areas within minor features. The use cases can be completed with a minimum of workaround. </t>
  </si>
  <si>
    <t>Below Medium</t>
  </si>
  <si>
    <t xml:space="preserve">Applies to MAT, AT, NFT, Regression test, Crossbrowser test. 
A great deal of minor and Average problems disrupting the normal user’s work. There are issues which affects functional areas within Average features. The use cases can be completed with a minimum of workaround. </t>
  </si>
  <si>
    <t>Low</t>
  </si>
  <si>
    <t xml:space="preserve">Applies to MAT, AT, NFT, Regression test, Crossbrowser test. 
Major or Average issues exist. The user can not work properly with the application. There are issues which affect the use of one or more Average features within the application. There may be a workaround, however, and testing can continue. </t>
  </si>
  <si>
    <t>Acceptable</t>
  </si>
  <si>
    <t>Applies to ST and means that the build is acceptable for further testing. 
Applies to DV and means that 10% or less of issues rejected.</t>
  </si>
  <si>
    <t>Not Acceptable</t>
  </si>
  <si>
    <t>Applies to ST and means that the build is not acceptable for further testing. The test team is blocked.
Applies to DV and means that more than 10% of issues rejected.</t>
  </si>
  <si>
    <t>Testing Plan tab description</t>
  </si>
  <si>
    <t>Information about required browsers and OS, necessary tests and their date and results.</t>
  </si>
  <si>
    <t>Required</t>
  </si>
  <si>
    <t>Build number</t>
  </si>
  <si>
    <t>0.0.1</t>
  </si>
  <si>
    <t>0.0.2</t>
  </si>
  <si>
    <t>0.0.3</t>
  </si>
  <si>
    <t>0.0.4</t>
  </si>
  <si>
    <t>0.0.5</t>
  </si>
  <si>
    <t>0.0.6</t>
  </si>
  <si>
    <t>0.0.7</t>
  </si>
  <si>
    <t>0.0.8</t>
  </si>
  <si>
    <t>0.0.9</t>
  </si>
  <si>
    <t>11-12.06.2012</t>
  </si>
  <si>
    <t>A. Pechinsky</t>
  </si>
  <si>
    <t>A. Burtsev</t>
  </si>
  <si>
    <t>M. Matievskaya</t>
  </si>
  <si>
    <t>A. Sotnikov</t>
  </si>
  <si>
    <t>E. Yakimova</t>
  </si>
  <si>
    <t>Win 7</t>
  </si>
  <si>
    <t>MacOS 10.7.2</t>
  </si>
  <si>
    <t>Android 2.3</t>
  </si>
  <si>
    <t>IE 9</t>
  </si>
  <si>
    <t>Safari 6</t>
  </si>
  <si>
    <t>Firefox 17</t>
  </si>
  <si>
    <t>—</t>
  </si>
  <si>
    <t>Project size</t>
  </si>
  <si>
    <t>–</t>
  </si>
  <si>
    <t>Statistics for Defects</t>
  </si>
  <si>
    <t>New defects found:</t>
  </si>
  <si>
    <t>Jira defects status report:</t>
  </si>
  <si>
    <t>Defect validation report:</t>
  </si>
  <si>
    <t>CR validation report:</t>
  </si>
  <si>
    <t>Jira defects severity report:</t>
  </si>
  <si>
    <t>Description</t>
  </si>
  <si>
    <t>1.0.1</t>
  </si>
  <si>
    <t>Project Environment</t>
  </si>
  <si>
    <t>http://projectx_live.com</t>
  </si>
  <si>
    <t>Operating System</t>
  </si>
  <si>
    <t>iPhone 5</t>
  </si>
  <si>
    <t>Test Cases Statistics</t>
  </si>
  <si>
    <t>Total Test Cases Run</t>
  </si>
  <si>
    <t>Total Time Spent, h</t>
  </si>
  <si>
    <t>Test Type</t>
  </si>
  <si>
    <t>Functionality</t>
  </si>
  <si>
    <t>Actions</t>
  </si>
  <si>
    <t>Expected Result</t>
  </si>
  <si>
    <t>Result</t>
  </si>
  <si>
    <t>Comment</t>
  </si>
  <si>
    <t>Time Spent, min (No need to count)</t>
  </si>
  <si>
    <t>Smoke</t>
  </si>
  <si>
    <t>Requirement</t>
  </si>
  <si>
    <t>Software</t>
  </si>
  <si>
    <t>Test Team</t>
  </si>
  <si>
    <t>URL</t>
  </si>
  <si>
    <t>Environment / Operating System</t>
  </si>
  <si>
    <t>Live</t>
  </si>
  <si>
    <t>6.8 %</t>
  </si>
  <si>
    <t>UAT</t>
  </si>
  <si>
    <t>http://projectx_uat.com</t>
  </si>
  <si>
    <t>iPad 3</t>
  </si>
  <si>
    <t>Test</t>
  </si>
  <si>
    <t>http://projectx_test.com</t>
  </si>
  <si>
    <t>Dev</t>
  </si>
  <si>
    <t>http://projectx_dev.com</t>
  </si>
  <si>
    <t>iPhone 4S</t>
  </si>
  <si>
    <t>Android 4.0</t>
  </si>
  <si>
    <t>Add environment / operating system if it's not on the list.</t>
  </si>
  <si>
    <t>Used for testing environment with built-in browser (e.g. in Android system).</t>
  </si>
  <si>
    <t>IE 8</t>
  </si>
  <si>
    <t>IE 7</t>
  </si>
  <si>
    <t>Chrome 23</t>
  </si>
  <si>
    <t>Safari 5</t>
  </si>
  <si>
    <t>Opera 12</t>
  </si>
  <si>
    <t>Add browser if it's not on the list.</t>
  </si>
  <si>
    <t>Language: English</t>
  </si>
  <si>
    <t xml:space="preserve"> </t>
  </si>
  <si>
    <t>Main Test Condition</t>
  </si>
  <si>
    <t>OS</t>
  </si>
  <si>
    <t>Additional Test Plan</t>
  </si>
  <si>
    <t>1.5.2</t>
  </si>
  <si>
    <t>04 - 05.12.2012</t>
  </si>
  <si>
    <t>f2.chowdhury</t>
  </si>
  <si>
    <t>Smoke Test, MAT,AT</t>
  </si>
  <si>
    <t>Project</t>
  </si>
  <si>
    <t>Main Page</t>
  </si>
  <si>
    <t xml:space="preserve">Perform check for all required option </t>
  </si>
  <si>
    <t>Perform check the spelling of the title of input field</t>
  </si>
  <si>
    <t>Perform check the displayed message below the signup button</t>
  </si>
  <si>
    <t>Perform check of the mask functionality of password input field</t>
  </si>
  <si>
    <t>Perform check of the number of avatar</t>
  </si>
  <si>
    <t>Perform check the selection of avatar</t>
  </si>
  <si>
    <t>The button is clickable</t>
  </si>
  <si>
    <t>The avatar is selected when click on</t>
  </si>
  <si>
    <t>The number of avatar is 17</t>
  </si>
  <si>
    <t>The button is working</t>
  </si>
  <si>
    <t>The password is masked</t>
  </si>
  <si>
    <t>The displayed message is appropriate</t>
  </si>
  <si>
    <t>All the spelling of the input fields titles is correct</t>
  </si>
  <si>
    <t>All required option is displayed</t>
  </si>
  <si>
    <t>Perform check the points when first sign up</t>
  </si>
  <si>
    <t>The points is added</t>
  </si>
  <si>
    <t>Perform check for the avatar display in profile</t>
  </si>
  <si>
    <t>The avatar is display</t>
  </si>
  <si>
    <t>Home page</t>
  </si>
  <si>
    <t>Perform check of features</t>
  </si>
  <si>
    <t>All feature is displayed</t>
  </si>
  <si>
    <t>All features of settings is display</t>
  </si>
  <si>
    <t>It is working</t>
  </si>
  <si>
    <t>The name of language is displayed</t>
  </si>
  <si>
    <t>Perform check of the selection of language</t>
  </si>
  <si>
    <t>The language is selected</t>
  </si>
  <si>
    <t>The facebook page is displayed</t>
  </si>
  <si>
    <t>Youtube video is displayed</t>
  </si>
  <si>
    <t>Logout successfully</t>
  </si>
  <si>
    <t>Settings</t>
  </si>
  <si>
    <t>All Categories</t>
  </si>
  <si>
    <t>Profile</t>
  </si>
  <si>
    <t>LeaderBoard</t>
  </si>
  <si>
    <t>Perform check the amount of point</t>
  </si>
  <si>
    <t>101 point is added</t>
  </si>
  <si>
    <t>Perform check of required marks on title</t>
  </si>
  <si>
    <t>Required marks is displayed</t>
  </si>
  <si>
    <t>Perform check when input field is empty</t>
  </si>
  <si>
    <t>Error message is displayed</t>
  </si>
  <si>
    <t>Perform check of Sign In With Google Button</t>
  </si>
  <si>
    <t>Sign in successfully</t>
  </si>
  <si>
    <t>Perform check of Sign In With Facebook Button</t>
  </si>
  <si>
    <t>Perform check of Term of Service link on sign in page</t>
  </si>
  <si>
    <t>Perform check of Privacy Policy link on sign in page</t>
  </si>
  <si>
    <t>Perform check of character more than 100 in Email field</t>
  </si>
  <si>
    <t>Perform check of character more than 100 in Password field</t>
  </si>
  <si>
    <t>Perform check of character less than 5 in Password field</t>
  </si>
  <si>
    <t>Log in page</t>
  </si>
  <si>
    <t>Sign up page</t>
  </si>
  <si>
    <t>Perform check the displayed message below the login button</t>
  </si>
  <si>
    <t>Perform check of the login button</t>
  </si>
  <si>
    <t>Perform check of Term of Service link on login in page</t>
  </si>
  <si>
    <t>Perform check of Privacy Policy link on log in page</t>
  </si>
  <si>
    <t>Perform check of speling</t>
  </si>
  <si>
    <t>All Spelling is correct</t>
  </si>
  <si>
    <t>Perform check for slider pagination indicator</t>
  </si>
  <si>
    <t>Perform check of Explore all button</t>
  </si>
  <si>
    <t>Quizhour is a dynamic quiz app for Android where users receive free points upon first sign-up, needed to participate in quizzes. Each quiz has a reward and penalty system based on the user's answers. Users can earn extra points by watching videos or take a Self-Challenge quiz without rewards or penalties. The app offers avatar customization and supports ten languages. Through the Leaderboard, users can view global rankings and individual statistics. In the Profile section, users track points, rank, strength, correct/incorrect answers, and quizzes completed. The Categories menu provides a variety of quizzes organized into categories and subcategories.</t>
  </si>
  <si>
    <t xml:space="preserve"> https://itransitiongroup-my.sharepoint.com/:u:/g/personal/s_hossan_a1qa_com/EQ6lSrN96wpBtGgZHWcLSn0BrR0jQSmCI8h5DlgPXsNT8A</t>
  </si>
  <si>
    <t xml:space="preserve">Redmi Note 14 Pro </t>
  </si>
  <si>
    <t>2.0.6.0.VOOCNXM</t>
  </si>
  <si>
    <t>Perform check of sign up button without internet connection</t>
  </si>
  <si>
    <t>Perform check of login button without internet connection</t>
  </si>
  <si>
    <t>Perform check of sign up with existing email</t>
  </si>
  <si>
    <t>App</t>
  </si>
  <si>
    <t>Perform check of app name</t>
  </si>
  <si>
    <t>QuizHour is displayed</t>
  </si>
  <si>
    <t>Self Challenge Mode</t>
  </si>
  <si>
    <t>Perform check of spelling</t>
  </si>
  <si>
    <t>Spelling is correct</t>
  </si>
  <si>
    <t>Button is working</t>
  </si>
  <si>
    <t>Perform check of text position in blue background</t>
  </si>
  <si>
    <t>It is in centered</t>
  </si>
  <si>
    <t>Perform check of pointer in input fields</t>
  </si>
  <si>
    <t>All the pointer is present</t>
  </si>
  <si>
    <t>Perform check of dropdown menu for all input fields</t>
  </si>
  <si>
    <t>Dropdown menu is displayed</t>
  </si>
  <si>
    <t>Perform check of error message when input fields are empty and start quiz button clicked</t>
  </si>
  <si>
    <t>Perform check of input fields when select option after error message</t>
  </si>
  <si>
    <t>Selected option is displayed</t>
  </si>
  <si>
    <t xml:space="preserve">Perform check of time progress bar </t>
  </si>
  <si>
    <t>Progress bar is decreasing</t>
  </si>
  <si>
    <t>Perform check of close button</t>
  </si>
  <si>
    <t>Perform check of next button</t>
  </si>
  <si>
    <t>Perform check of name of the button</t>
  </si>
  <si>
    <t>Every button name is correct</t>
  </si>
  <si>
    <t>Perform check of cross button</t>
  </si>
  <si>
    <t>Perform check of Quiz Overview button</t>
  </si>
  <si>
    <t>Perform check of displayed information</t>
  </si>
  <si>
    <t>All the information is correct</t>
  </si>
  <si>
    <t>Perform check of Done button</t>
  </si>
  <si>
    <t>Perform check of start Quiz button with no internet connection</t>
  </si>
  <si>
    <t>Perform check of click on ad</t>
  </si>
  <si>
    <t>Ad is displayed</t>
  </si>
  <si>
    <t>Perform check of points adding after watch ad</t>
  </si>
  <si>
    <t>Points are added</t>
  </si>
  <si>
    <t>Perform check of profile name</t>
  </si>
  <si>
    <t>Profile name is displayed</t>
  </si>
  <si>
    <t>Perform check of displayed message after first sign up</t>
  </si>
  <si>
    <t>Welcome message is displayed</t>
  </si>
  <si>
    <t>Categories</t>
  </si>
  <si>
    <t>Perform check of displayed categories</t>
  </si>
  <si>
    <t>Categories is displayed</t>
  </si>
  <si>
    <t>Perform check for click on the categories</t>
  </si>
  <si>
    <t>Perform check for sub categories</t>
  </si>
  <si>
    <t>Sub categories is displayed</t>
  </si>
  <si>
    <t>It is clickable</t>
  </si>
  <si>
    <t>Perform check of click on sub categories</t>
  </si>
  <si>
    <t>The quiz is displayed</t>
  </si>
  <si>
    <t>Perform check of spelling beside categories icon</t>
  </si>
  <si>
    <t>The spelling is correct</t>
  </si>
  <si>
    <t>The icon is working</t>
  </si>
  <si>
    <t>Perform check of click on categories icon</t>
  </si>
  <si>
    <t>Peform check for click on profile icon</t>
  </si>
  <si>
    <t>Perform check for profile picture</t>
  </si>
  <si>
    <t xml:space="preserve">Profile picture is displayed </t>
  </si>
  <si>
    <t>Perform check for profile name</t>
  </si>
  <si>
    <t>Correct profile name is displayed</t>
  </si>
  <si>
    <t>Peform check for points</t>
  </si>
  <si>
    <t>Current points is displayed</t>
  </si>
  <si>
    <t>Perform check for rank option</t>
  </si>
  <si>
    <t>Rank is displayed</t>
  </si>
  <si>
    <t>Perform check for the displayed information</t>
  </si>
  <si>
    <t>All required information is displayed</t>
  </si>
  <si>
    <t>Perform check for the spelling</t>
  </si>
  <si>
    <t>all the spelling is correct</t>
  </si>
  <si>
    <t>Perform check for the circular progress bar</t>
  </si>
  <si>
    <t>The circular bar is empty</t>
  </si>
  <si>
    <t>Perform check for the cross button in quiz question</t>
  </si>
  <si>
    <t>Perform check of yes button in quit quiz message</t>
  </si>
  <si>
    <t>The button is responsive</t>
  </si>
  <si>
    <t>Perform check for strength value</t>
  </si>
  <si>
    <t xml:space="preserve">The value is correct </t>
  </si>
  <si>
    <t xml:space="preserve">Perform check the ad </t>
  </si>
  <si>
    <t>The ad is open</t>
  </si>
  <si>
    <t>Perform check for banner ad</t>
  </si>
  <si>
    <t>Banner ad is displayed</t>
  </si>
  <si>
    <t>Perform check for interstitional ads</t>
  </si>
  <si>
    <t>Interstitional ads is displayed</t>
  </si>
  <si>
    <t>Perform check for edit button</t>
  </si>
  <si>
    <t>Perform check for update avatar</t>
  </si>
  <si>
    <t>The avatar is displayed</t>
  </si>
  <si>
    <t>Perform check for update name</t>
  </si>
  <si>
    <t>The name is update</t>
  </si>
  <si>
    <t>Perform check for upload image</t>
  </si>
  <si>
    <t>The image is uploaded</t>
  </si>
  <si>
    <t>Edit Profile</t>
  </si>
  <si>
    <t>Leaderboard</t>
  </si>
  <si>
    <t>Perform check for click on leaderboard icon</t>
  </si>
  <si>
    <t>Perform check for the text beside icon</t>
  </si>
  <si>
    <t>Leaderboard is displayed</t>
  </si>
  <si>
    <t>Splash screen</t>
  </si>
  <si>
    <t>Perform check the spelling in each page</t>
  </si>
  <si>
    <t>All the spelling is correct</t>
  </si>
  <si>
    <t>Perform check for leaderboard page</t>
  </si>
  <si>
    <t>The leaderboard page is open on same page</t>
  </si>
  <si>
    <t>Perfom check the profile name</t>
  </si>
  <si>
    <t>The profile name is displayed</t>
  </si>
  <si>
    <t>Perform check for points</t>
  </si>
  <si>
    <t>The points is displayed</t>
  </si>
  <si>
    <t>Perform check for profile avatar</t>
  </si>
  <si>
    <t>The profile avatar is displayed</t>
  </si>
  <si>
    <t>Perform check for the unnecessary text</t>
  </si>
  <si>
    <t>Unnecesary text is not displayed</t>
  </si>
  <si>
    <t>Perfom check for the refresh button</t>
  </si>
  <si>
    <t>There is no refresh button displayed</t>
  </si>
  <si>
    <t>Perform chek for click on other profile</t>
  </si>
  <si>
    <t>Profile is displayed</t>
  </si>
  <si>
    <t>Perform check by clicking on categories from slider pagination</t>
  </si>
  <si>
    <t>The quiz is open</t>
  </si>
  <si>
    <t>Perform check for quiz overview</t>
  </si>
  <si>
    <t>Quiz overview is displayed</t>
  </si>
  <si>
    <t>Perform check for Sign in with apple option</t>
  </si>
  <si>
    <t>The option is displayed</t>
  </si>
  <si>
    <t>Perform check for Log in with apple option</t>
  </si>
  <si>
    <t>Perform check of input fields background color when error is displayed</t>
  </si>
  <si>
    <t>The Input backgound color is not expand</t>
  </si>
  <si>
    <t>Perform check for feature spelling</t>
  </si>
  <si>
    <t>Feature is displayed</t>
  </si>
  <si>
    <t>Perform check the error message's similarity on input fields</t>
  </si>
  <si>
    <t>The error message is unified</t>
  </si>
  <si>
    <t>Perform check for unnecessary text</t>
  </si>
  <si>
    <t>Perform check of if user can login when the account is deleted</t>
  </si>
  <si>
    <t>Perform check of Delete My Account and Data button</t>
  </si>
  <si>
    <t>The account is deleted</t>
  </si>
  <si>
    <t>Perform check of login with deleted account</t>
  </si>
  <si>
    <t>The profile is displayed</t>
  </si>
  <si>
    <t>Perform check of application profile is displayed in the device settings after installation</t>
  </si>
  <si>
    <t>Perform check of the speed of the application.</t>
  </si>
  <si>
    <t>The speed is fast</t>
  </si>
  <si>
    <t>Perform check of the screen after rotate</t>
  </si>
  <si>
    <t>The screen is visible</t>
  </si>
  <si>
    <t>Perform check of application work without internet connection</t>
  </si>
  <si>
    <t>The application is not working</t>
  </si>
  <si>
    <t>Perform check of speed in slow internet connection</t>
  </si>
  <si>
    <t>Perform check of Application work when using Wi-Fi (fast connection speed)</t>
  </si>
  <si>
    <t>Perform check of Application work when using Wi-Fi (slow connection speed)</t>
  </si>
  <si>
    <t>The application speed is fast</t>
  </si>
  <si>
    <t>Perform check of application language after changing language on android</t>
  </si>
  <si>
    <t>The application language is unchanged</t>
  </si>
  <si>
    <t>Perform check of Application work when sending and receiving email.</t>
  </si>
  <si>
    <t>Perform check of Application work when receiving notifications from other applications.</t>
  </si>
  <si>
    <t>Perform check of  Application work when sending and receiving SMS/MMS.</t>
  </si>
  <si>
    <t>Perform check of Application work after incoming/outgoing call.</t>
  </si>
  <si>
    <t>Perform check of Connecting / disconnecting the charger.</t>
  </si>
  <si>
    <t>Perform check of Application work when connected/disconnected to another device via USB</t>
  </si>
  <si>
    <t>Perform check of scrolling page</t>
  </si>
  <si>
    <t>All the page is able to scroll</t>
  </si>
  <si>
    <t>Perform check of Visual quality</t>
  </si>
  <si>
    <t>The visual quality is good</t>
  </si>
  <si>
    <t>Perform check of application loading time</t>
  </si>
  <si>
    <t>It takes very little time</t>
  </si>
  <si>
    <t xml:space="preserve">Perform check of stability of the application </t>
  </si>
  <si>
    <t>Stability is good</t>
  </si>
  <si>
    <t>Perform check of Application work when the battery is low</t>
  </si>
  <si>
    <t>Perform check of pointer allignment</t>
  </si>
  <si>
    <t>All the pointer is allign</t>
  </si>
  <si>
    <t xml:space="preserve">                  AT</t>
  </si>
  <si>
    <t xml:space="preserve">  FlutterQuiz</t>
  </si>
  <si>
    <t xml:space="preserve">                MAT</t>
  </si>
  <si>
    <t xml:space="preserve">                 AT</t>
  </si>
  <si>
    <t xml:space="preserve">Perform check of put name field empty </t>
  </si>
  <si>
    <t xml:space="preserve">Perform check of put email field empty </t>
  </si>
  <si>
    <t>Perform check  the name of sign up button</t>
  </si>
  <si>
    <t>The button name is correct</t>
  </si>
  <si>
    <t>The signup button is clickable</t>
  </si>
  <si>
    <t>Perform check if the signup button is clickable</t>
  </si>
  <si>
    <t>Nothing happened</t>
  </si>
  <si>
    <t>Perform check of clicking around the submit button</t>
  </si>
  <si>
    <t>Perform check of clicking around the Done button</t>
  </si>
  <si>
    <t>Perform check of name of the Done button</t>
  </si>
  <si>
    <t>Perform check if the Done button is clickable</t>
  </si>
  <si>
    <t>Perform check of required marks on title in sign up page</t>
  </si>
  <si>
    <t>Perform check of if Forget password button is clickable</t>
  </si>
  <si>
    <t>Perform check of displaying Email input field for reset password</t>
  </si>
  <si>
    <t>Email input field is displayed</t>
  </si>
  <si>
    <t xml:space="preserve">Perform check of if email is submitted when click on Submit button </t>
  </si>
  <si>
    <t>Next step is displayed</t>
  </si>
  <si>
    <t>Perform check clicking around the submit button</t>
  </si>
  <si>
    <t>Perform check of the submit button name</t>
  </si>
  <si>
    <t>Perform check of put email field empty and click on submit button</t>
  </si>
  <si>
    <t>Perform check for click on Delete account and data</t>
  </si>
  <si>
    <t>Perform check of rotate the screen</t>
  </si>
  <si>
    <t>The app page is displayed correctly</t>
  </si>
  <si>
    <t>Perform check of the name of play now button</t>
  </si>
  <si>
    <t>Button name is correct</t>
  </si>
  <si>
    <t>Privacy policy page is opened</t>
  </si>
  <si>
    <t>Terms and Service page is opened</t>
  </si>
  <si>
    <t>Log in Successfully</t>
  </si>
  <si>
    <t>The application  response correctly</t>
  </si>
  <si>
    <t>Perform check of the name of login  button</t>
  </si>
  <si>
    <t>Perform check of clicking around the log in button</t>
  </si>
  <si>
    <t>The cross button behaves correctly</t>
  </si>
  <si>
    <t>Perform check of the behaviour of cross button in input field</t>
  </si>
  <si>
    <t xml:space="preserve">Perform check of the allignment of the input field </t>
  </si>
  <si>
    <t>All the input field is allign</t>
  </si>
  <si>
    <t>Perform check of the allignment of button in sign up page</t>
  </si>
  <si>
    <t>All the button is allign with other elements</t>
  </si>
  <si>
    <t>Perform check of the allignment of button in login page</t>
  </si>
  <si>
    <t>Perform check of if Home page icon is clickable</t>
  </si>
  <si>
    <t>The icon is clickable</t>
  </si>
  <si>
    <t>Perform check of if Home page icon is displayed</t>
  </si>
  <si>
    <t>The icon is displayed</t>
  </si>
  <si>
    <t>Perform check of if home page is displayed when click on Home page icon</t>
  </si>
  <si>
    <t>Home page is displayed</t>
  </si>
  <si>
    <t>Perform check the name of home page</t>
  </si>
  <si>
    <t>The name is correct</t>
  </si>
  <si>
    <t>Perform check of if All Categories page is displayed when click on Categories icon</t>
  </si>
  <si>
    <t>All Categories page is displayed</t>
  </si>
  <si>
    <t>Perform check the name of Categories icon</t>
  </si>
  <si>
    <t>The name is Categories</t>
  </si>
  <si>
    <t>Perform check of if page title is displayed</t>
  </si>
  <si>
    <t>All Categories is displayed</t>
  </si>
  <si>
    <t>Perform check of click on the notification button</t>
  </si>
  <si>
    <t>Perform check the title of the notification page</t>
  </si>
  <si>
    <t>Notification is displayed as a page title</t>
  </si>
  <si>
    <t>Perform check of click on settings button</t>
  </si>
  <si>
    <t>Perform check of Settings page</t>
  </si>
  <si>
    <t>Perform check of Sound toggle</t>
  </si>
  <si>
    <t>The toggle is  responsive</t>
  </si>
  <si>
    <t>Perform check of User name in settings</t>
  </si>
  <si>
    <t>The user name is correct</t>
  </si>
  <si>
    <t>Perform check of click on logout symbol</t>
  </si>
  <si>
    <t>Perform check of click on cancel button</t>
  </si>
  <si>
    <t>Log out cancel</t>
  </si>
  <si>
    <t>Perform check the displayed message when want to logout</t>
  </si>
  <si>
    <t>Appropriate message is displayed</t>
  </si>
  <si>
    <t>Perform check of the name of the Cancel button</t>
  </si>
  <si>
    <t>Perform check of the name of the Logout button</t>
  </si>
  <si>
    <t>The name of the butto is correct</t>
  </si>
  <si>
    <t>Perfoem check the title of settings page</t>
  </si>
  <si>
    <t>The page title is displayed</t>
  </si>
  <si>
    <t>Perform check of click on the Logout button</t>
  </si>
  <si>
    <t>The name of the button is correct</t>
  </si>
  <si>
    <t>Perform check of click on the Account Security button</t>
  </si>
  <si>
    <t>It The button is clickable</t>
  </si>
  <si>
    <t>Perform check of Notification toggle</t>
  </si>
  <si>
    <t>It is responsive</t>
  </si>
  <si>
    <t>Perform check of Vibration toggle</t>
  </si>
  <si>
    <t>Perform check of click on the language direction</t>
  </si>
  <si>
    <t>Perform check of click on the Facebook Page button</t>
  </si>
  <si>
    <t>About us page is displayed</t>
  </si>
  <si>
    <t>Contact us page is displayed</t>
  </si>
  <si>
    <t>Privacy policy page is displayed</t>
  </si>
  <si>
    <t>Perform check of click on the youtube button</t>
  </si>
  <si>
    <t>Perform check of click on the About Us button</t>
  </si>
  <si>
    <t>Perform check of click on the Contact Us button</t>
  </si>
  <si>
    <t>Perform check of click on the Privacy Policy button</t>
  </si>
  <si>
    <t>Perform check of click on the Rate This App button</t>
  </si>
  <si>
    <t>Perform check of click on the play now button</t>
  </si>
  <si>
    <t>Perform check of clicking outside of the play now button</t>
  </si>
  <si>
    <t>The Self challenge mode page is displayed</t>
  </si>
  <si>
    <t>Perform check of the pointer allignment</t>
  </si>
  <si>
    <t>Perform check the allignment of input field</t>
  </si>
  <si>
    <t xml:space="preserve">Perform check the displayed information </t>
  </si>
  <si>
    <t>All the information is displayed</t>
  </si>
  <si>
    <t>Perform check of click on Start Quiz button</t>
  </si>
  <si>
    <t>The quiz is started</t>
  </si>
  <si>
    <t>Perform check the name of start quiz button</t>
  </si>
  <si>
    <t>Perform check if selected option is displayed in input field</t>
  </si>
  <si>
    <t>Selected option is displayed in input field</t>
  </si>
  <si>
    <t>Perform check of timer</t>
  </si>
  <si>
    <t>Timer is displayed</t>
  </si>
  <si>
    <t>Perform check of timer progress bar</t>
  </si>
  <si>
    <t>Progress bar is displayed</t>
  </si>
  <si>
    <t>Perform check of setttings button</t>
  </si>
  <si>
    <t>Settings button is displayed</t>
  </si>
  <si>
    <t>Perform check of click on the setting button</t>
  </si>
  <si>
    <t>Button is clickable</t>
  </si>
  <si>
    <t>Perform check of click on sound toggle</t>
  </si>
  <si>
    <t>Toggle is responsive</t>
  </si>
  <si>
    <t>Perform check of click on vibration toggle</t>
  </si>
  <si>
    <t>Button is Clickable</t>
  </si>
  <si>
    <t>Answer is selected</t>
  </si>
  <si>
    <t>Perform check by select answer in quiz</t>
  </si>
  <si>
    <t>Perform check of the allignment of quiz option</t>
  </si>
  <si>
    <t>The option is allign</t>
  </si>
  <si>
    <t>Perform check of displayed message after complete quiz</t>
  </si>
  <si>
    <t>The message is appropriate</t>
  </si>
  <si>
    <t>Perform check the ammount of  fill in the circle progress bar</t>
  </si>
  <si>
    <t>the circle is fill according the correct ans</t>
  </si>
  <si>
    <t>Perform check the name of quiz overview button</t>
  </si>
  <si>
    <t>Perform check the name of done button</t>
  </si>
  <si>
    <t>Perform check the timer when quit quiz message is displayed</t>
  </si>
  <si>
    <t>Timer is stopped</t>
  </si>
  <si>
    <t>Perform check of page title when click on any category</t>
  </si>
  <si>
    <t>Category name is displayed</t>
  </si>
  <si>
    <t>Perform check of page title when click on sub category</t>
  </si>
  <si>
    <t>Sub category's name is displayed</t>
  </si>
  <si>
    <t>Perform check of click on start quiz button</t>
  </si>
  <si>
    <t xml:space="preserve">Perform check of the name of start quiz button </t>
  </si>
  <si>
    <t>Perform check of Information displayed on the page</t>
  </si>
  <si>
    <t>All information is displayed</t>
  </si>
  <si>
    <t>Perform check the text beside profile icon</t>
  </si>
  <si>
    <t xml:space="preserve">Perform check of Page title </t>
  </si>
  <si>
    <t>Page title is displayed</t>
  </si>
  <si>
    <t>Perform check of icon displayed</t>
  </si>
  <si>
    <t>Icon is displayed</t>
  </si>
  <si>
    <t>Perform check the title of the page</t>
  </si>
  <si>
    <t>Perform check for click on Update button</t>
  </si>
  <si>
    <t>Perform check the name of the update button</t>
  </si>
  <si>
    <t xml:space="preserve">Perform check that the name input field can't accept the input of special characters. Enter  $ in the field </t>
  </si>
  <si>
    <t>Perform check of numeric character in name field.Enter 11 in the input field</t>
  </si>
  <si>
    <t>Perform check of alphabetic character in name field.Enter ff in the input field</t>
  </si>
  <si>
    <t>Alphabetic character is accepted</t>
  </si>
  <si>
    <t xml:space="preserve">Perform check that the email field can't accept the input of special characters. Enter  $ in the field </t>
  </si>
  <si>
    <t>Perform  check that the input fields allows copy-paste (Ctrl+C / Ctrl+V)</t>
  </si>
  <si>
    <t>Data can be paste into the input fields</t>
  </si>
  <si>
    <t>Perform the check that the text inside the field is located within the field borders</t>
  </si>
  <si>
    <t>The text inside the field is located within the field borders</t>
  </si>
  <si>
    <t>Perform check of 2+"@" characters are inserted in email input field</t>
  </si>
  <si>
    <t>Perfoerm check of not inserted domain part in email input field</t>
  </si>
  <si>
    <t>Perform the check if the name field can't accept an maximum +1 number of characters - 101</t>
  </si>
  <si>
    <t>Perform check of character between 1 to 100 in name field-2</t>
  </si>
  <si>
    <t>2 characters are accepted</t>
  </si>
  <si>
    <t>Perform the check that the name field accepts a valid maximum number of characters - 100</t>
  </si>
  <si>
    <t>100 characters are accepted</t>
  </si>
  <si>
    <t>Perform the check that the name field accepts a valid minimum number of characters - 1</t>
  </si>
  <si>
    <t>1 characters are accepted</t>
  </si>
  <si>
    <t>Perform the check that  the name field can't accept minimum -1 number of characters - 0</t>
  </si>
  <si>
    <t>Perform the check that the field has a placeholder “Title”</t>
  </si>
  <si>
    <t>Placeholder is displayed according to requirements</t>
  </si>
  <si>
    <t>Perform check that size of field is according to requirements</t>
  </si>
  <si>
    <t>The size of field matches the requirements</t>
  </si>
  <si>
    <t>Perform the check if the email field can't accept an maximum +1 number of characters - 101</t>
  </si>
  <si>
    <t>Perform the check that the email field accepts a valid maximum number of characters - 100</t>
  </si>
  <si>
    <t>5 characters are accepted</t>
  </si>
  <si>
    <t>Perform the check that the email field accepts a valid minimum number of characters - 5</t>
  </si>
  <si>
    <t>Perform the check that  the email field can't accept minimum -1 number of characters - 4</t>
  </si>
  <si>
    <t>Perform check of character between 5 to 100 in email field-7</t>
  </si>
  <si>
    <t>7 characters are accepted</t>
  </si>
  <si>
    <t>Perform the check if the password field can't accept an maximum +1 number of characters - 101</t>
  </si>
  <si>
    <t>Perform the check that the password field accepts a valid maximum number of characters - 100</t>
  </si>
  <si>
    <t>Perform the check that the password field accepts a valid minimum number of characters - 5</t>
  </si>
  <si>
    <t>Perform check of character between 6 to 100 in password field-10</t>
  </si>
  <si>
    <t>10 characters are accepted</t>
  </si>
  <si>
    <t>Perform check of emoji type input in name field -🙂</t>
  </si>
  <si>
    <t>Perform check of emoji type input in username part in email field-🙂</t>
  </si>
  <si>
    <t xml:space="preserve">Perform the check that the current input field can be edited </t>
  </si>
  <si>
    <t xml:space="preserve">input  can be edited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</si>
</sst>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mm/yy"/>
    <numFmt numFmtId="166" formatCode="[$-809]dd\ mmmm\ yyyy;@"/>
  </numFmts>
  <fonts count="37" x14ac:knownFonts="1">
    <font>
      <sz val="10"/>
      <name val="Arial"/>
      <charset val="204"/>
    </font>
    <font>
      <sz val="11"/>
      <color rgb="FF000000"/>
      <name val="Calibri"/>
      <family val="2"/>
      <charset val="204"/>
    </font>
    <font>
      <sz val="10"/>
      <name val="Arial"/>
      <family val="2"/>
      <charset val="204"/>
    </font>
    <font>
      <sz val="10"/>
      <name val="Arial Cyr"/>
      <charset val="204"/>
    </font>
    <font>
      <sz val="8"/>
      <name val="Arial"/>
      <family val="2"/>
      <charset val="204"/>
    </font>
    <font>
      <b/>
      <sz val="15"/>
      <color rgb="FFFF0000"/>
      <name val="Arial"/>
      <family val="2"/>
      <charset val="204"/>
    </font>
    <font>
      <sz val="15"/>
      <color rgb="FFFF0000"/>
      <name val="Arial"/>
      <family val="2"/>
      <charset val="204"/>
    </font>
    <font>
      <sz val="11"/>
      <color rgb="FFFFFFFF"/>
      <name val="Calibri"/>
      <family val="2"/>
      <charset val="1"/>
    </font>
    <font>
      <b/>
      <sz val="9"/>
      <color rgb="FFFFFFFF"/>
      <name val="Arial"/>
      <family val="2"/>
      <charset val="204"/>
    </font>
    <font>
      <b/>
      <sz val="8"/>
      <color rgb="FFC00000"/>
      <name val="Arial"/>
      <family val="2"/>
      <charset val="204"/>
    </font>
    <font>
      <b/>
      <sz val="8"/>
      <color rgb="FF404040"/>
      <name val="Arial"/>
      <family val="2"/>
      <charset val="204"/>
    </font>
    <font>
      <b/>
      <sz val="8"/>
      <name val="Arial"/>
      <family val="2"/>
      <charset val="204"/>
    </font>
    <font>
      <i/>
      <sz val="8"/>
      <name val="Arial"/>
      <family val="2"/>
      <charset val="204"/>
    </font>
    <font>
      <sz val="8"/>
      <color rgb="FF006100"/>
      <name val="Arial"/>
      <family val="2"/>
      <charset val="204"/>
    </font>
    <font>
      <sz val="11"/>
      <color rgb="FF006100"/>
      <name val="Calibri"/>
      <family val="2"/>
      <charset val="1"/>
    </font>
    <font>
      <sz val="8"/>
      <color rgb="FF865600"/>
      <name val="Arial"/>
      <family val="2"/>
      <charset val="204"/>
    </font>
    <font>
      <sz val="11"/>
      <color rgb="FF9C6500"/>
      <name val="Calibri"/>
      <family val="2"/>
      <charset val="1"/>
    </font>
    <font>
      <sz val="8"/>
      <color rgb="FF984807"/>
      <name val="Arial"/>
      <family val="2"/>
      <charset val="204"/>
    </font>
    <font>
      <sz val="8"/>
      <color rgb="FF9C0006"/>
      <name val="Arial"/>
      <family val="2"/>
      <charset val="204"/>
    </font>
    <font>
      <sz val="11"/>
      <color rgb="FF9C0006"/>
      <name val="Calibri"/>
      <family val="2"/>
      <charset val="1"/>
    </font>
    <font>
      <b/>
      <sz val="8"/>
      <color rgb="FF0000FF"/>
      <name val="Arial"/>
      <family val="2"/>
      <charset val="204"/>
    </font>
    <font>
      <sz val="9"/>
      <color rgb="FF000000"/>
      <name val="Tahoma"/>
      <family val="2"/>
      <charset val="204"/>
    </font>
    <font>
      <b/>
      <sz val="8"/>
      <color rgb="FFFFFFFF"/>
      <name val="Arial"/>
      <family val="2"/>
      <charset val="204"/>
    </font>
    <font>
      <sz val="8"/>
      <color rgb="FF000000"/>
      <name val="Arial"/>
      <family val="2"/>
      <charset val="204"/>
    </font>
    <font>
      <sz val="8"/>
      <color rgb="FF000000"/>
      <name val="Calibri"/>
      <family val="2"/>
      <charset val="204"/>
    </font>
    <font>
      <b/>
      <sz val="8"/>
      <color rgb="FF000000"/>
      <name val="Arial"/>
      <family val="2"/>
      <charset val="204"/>
    </font>
    <font>
      <b/>
      <sz val="8"/>
      <color rgb="FF000000"/>
      <name val="Calibri"/>
      <family val="2"/>
      <charset val="204"/>
    </font>
    <font>
      <sz val="9"/>
      <color rgb="FFFFFFFF"/>
      <name val="Arial"/>
      <family val="2"/>
      <charset val="204"/>
    </font>
    <font>
      <sz val="11"/>
      <color rgb="FF000000"/>
      <name val="Calibri"/>
      <family val="2"/>
      <charset val="1"/>
    </font>
    <font>
      <b/>
      <sz val="9"/>
      <color rgb="FF000000"/>
      <name val="Arial"/>
      <family val="2"/>
      <charset val="204"/>
    </font>
    <font>
      <sz val="9"/>
      <name val="Arial"/>
      <family val="2"/>
      <charset val="204"/>
    </font>
    <font>
      <b/>
      <sz val="8"/>
      <color rgb="FF4D5361"/>
      <name val="Arial"/>
      <family val="2"/>
      <charset val="204"/>
    </font>
    <font>
      <u/>
      <sz val="10"/>
      <color rgb="FF0000FF"/>
      <name val="Arial"/>
      <family val="2"/>
      <charset val="204"/>
    </font>
    <font>
      <u/>
      <sz val="8"/>
      <color rgb="FF0000FF"/>
      <name val="Arial"/>
      <family val="2"/>
      <charset val="204"/>
    </font>
    <font>
      <sz val="8"/>
      <name val="Arial"/>
      <family val="2"/>
    </font>
    <font>
      <sz val="8"/>
      <name val="Calibri"/>
      <family val="2"/>
      <charset val="204"/>
    </font>
    <font>
      <sz val="10"/>
      <name val="Arial"/>
      <family val="2"/>
    </font>
  </fonts>
  <fills count="15">
    <fill>
      <patternFill patternType="none"/>
    </fill>
    <fill>
      <patternFill patternType="gray125"/>
    </fill>
    <fill>
      <patternFill patternType="solid">
        <fgColor rgb="FFE6E0EC"/>
        <bgColor rgb="FFF2F2F2"/>
      </patternFill>
    </fill>
    <fill>
      <patternFill patternType="solid">
        <fgColor rgb="FF8064A2"/>
        <bgColor rgb="FF808080"/>
      </patternFill>
    </fill>
    <fill>
      <patternFill patternType="solid">
        <fgColor rgb="FFC6EFCE"/>
        <bgColor rgb="FFC3DFF9"/>
      </patternFill>
    </fill>
    <fill>
      <patternFill patternType="solid">
        <fgColor rgb="FF9BBB59"/>
        <bgColor rgb="FF8AC181"/>
      </patternFill>
    </fill>
    <fill>
      <patternFill patternType="solid">
        <fgColor rgb="FFFFEB9C"/>
        <bgColor rgb="FFFFFFCC"/>
      </patternFill>
    </fill>
    <fill>
      <patternFill patternType="solid">
        <fgColor rgb="FFF79646"/>
        <bgColor rgb="FFFF8C00"/>
      </patternFill>
    </fill>
    <fill>
      <patternFill patternType="solid">
        <fgColor rgb="FFFFC7CE"/>
        <bgColor rgb="FFD8BFEB"/>
      </patternFill>
    </fill>
    <fill>
      <patternFill patternType="solid">
        <fgColor rgb="FFFFFFFF"/>
        <bgColor rgb="FFF2F2F2"/>
      </patternFill>
    </fill>
    <fill>
      <patternFill patternType="solid">
        <fgColor rgb="FF437381"/>
        <bgColor rgb="FF4A7EBB"/>
      </patternFill>
    </fill>
    <fill>
      <patternFill patternType="solid">
        <fgColor rgb="FF7CACBC"/>
        <bgColor rgb="FF8AC181"/>
      </patternFill>
    </fill>
    <fill>
      <patternFill patternType="solid">
        <fgColor rgb="FF33C533"/>
        <bgColor rgb="FF8AC181"/>
      </patternFill>
    </fill>
    <fill>
      <patternFill patternType="solid">
        <fgColor rgb="FFFFFF00"/>
        <bgColor rgb="FFFFF019"/>
      </patternFill>
    </fill>
    <fill>
      <patternFill patternType="solid">
        <fgColor theme="0"/>
        <bgColor rgb="FF8AC181"/>
      </patternFill>
    </fill>
  </fills>
  <borders count="25">
    <border>
      <left/>
      <right/>
      <top/>
      <bottom/>
      <diagonal/>
    </border>
    <border>
      <left style="thin">
        <color rgb="FF808080"/>
      </left>
      <right style="thin">
        <color rgb="FF808080"/>
      </right>
      <top style="thin">
        <color rgb="FF808080"/>
      </top>
      <bottom style="thin">
        <color rgb="FF808080"/>
      </bottom>
      <diagonal/>
    </border>
    <border>
      <left style="thin">
        <color rgb="FF333333"/>
      </left>
      <right style="thin">
        <color rgb="FF333333"/>
      </right>
      <top style="thin">
        <color rgb="FF333333"/>
      </top>
      <bottom style="thin">
        <color rgb="FF333333"/>
      </bottom>
      <diagonal/>
    </border>
    <border>
      <left style="thin">
        <color auto="1"/>
      </left>
      <right style="thin">
        <color rgb="FF595959"/>
      </right>
      <top style="thin">
        <color auto="1"/>
      </top>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style="thin">
        <color auto="1"/>
      </left>
      <right/>
      <top/>
      <bottom/>
      <diagonal/>
    </border>
    <border>
      <left style="thin">
        <color rgb="FF595959"/>
      </left>
      <right/>
      <top/>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style="thin">
        <color rgb="FF595959"/>
      </top>
      <bottom/>
      <diagonal/>
    </border>
    <border>
      <left/>
      <right style="thin">
        <color rgb="FF808080"/>
      </right>
      <top style="thin">
        <color rgb="FF808080"/>
      </top>
      <bottom/>
      <diagonal/>
    </border>
    <border>
      <left/>
      <right style="thin">
        <color rgb="FF808080"/>
      </right>
      <top/>
      <bottom/>
      <diagonal/>
    </border>
    <border>
      <left/>
      <right style="thin">
        <color rgb="FF808080"/>
      </right>
      <top/>
      <bottom style="thin">
        <color rgb="FF808080"/>
      </bottom>
      <diagonal/>
    </border>
    <border>
      <left style="thin">
        <color rgb="FF808080"/>
      </left>
      <right style="thin">
        <color rgb="FF595959"/>
      </right>
      <top style="thin">
        <color rgb="FF808080"/>
      </top>
      <bottom style="thin">
        <color rgb="FF595959"/>
      </bottom>
      <diagonal/>
    </border>
    <border>
      <left style="thin">
        <color rgb="FF595959"/>
      </left>
      <right style="thin">
        <color rgb="FF595959"/>
      </right>
      <top style="thin">
        <color rgb="FF808080"/>
      </top>
      <bottom style="thin">
        <color rgb="FF595959"/>
      </bottom>
      <diagonal/>
    </border>
    <border>
      <left style="thin">
        <color rgb="FF595959"/>
      </left>
      <right style="thin">
        <color rgb="FF808080"/>
      </right>
      <top style="thin">
        <color rgb="FF808080"/>
      </top>
      <bottom style="thin">
        <color rgb="FF595959"/>
      </bottom>
      <diagonal/>
    </border>
    <border>
      <left style="thin">
        <color rgb="FF808080"/>
      </left>
      <right style="thin">
        <color rgb="FF595959"/>
      </right>
      <top style="thin">
        <color rgb="FF595959"/>
      </top>
      <bottom style="thin">
        <color rgb="FF595959"/>
      </bottom>
      <diagonal/>
    </border>
    <border>
      <left style="thin">
        <color rgb="FF595959"/>
      </left>
      <right style="thin">
        <color rgb="FF595959"/>
      </right>
      <top style="thin">
        <color rgb="FF595959"/>
      </top>
      <bottom style="thin">
        <color rgb="FF595959"/>
      </bottom>
      <diagonal/>
    </border>
    <border>
      <left style="thin">
        <color rgb="FF595959"/>
      </left>
      <right style="thin">
        <color rgb="FF808080"/>
      </right>
      <top style="thin">
        <color rgb="FF595959"/>
      </top>
      <bottom style="thin">
        <color rgb="FF595959"/>
      </bottom>
      <diagonal/>
    </border>
    <border>
      <left style="thin">
        <color rgb="FF808080"/>
      </left>
      <right style="thin">
        <color rgb="FF595959"/>
      </right>
      <top style="thin">
        <color rgb="FF595959"/>
      </top>
      <bottom style="thin">
        <color rgb="FF808080"/>
      </bottom>
      <diagonal/>
    </border>
    <border>
      <left style="thin">
        <color rgb="FF595959"/>
      </left>
      <right style="thin">
        <color rgb="FF595959"/>
      </right>
      <top style="thin">
        <color rgb="FF595959"/>
      </top>
      <bottom style="thin">
        <color rgb="FF808080"/>
      </bottom>
      <diagonal/>
    </border>
    <border>
      <left style="thin">
        <color rgb="FF595959"/>
      </left>
      <right style="thin">
        <color rgb="FF808080"/>
      </right>
      <top style="thin">
        <color rgb="FF595959"/>
      </top>
      <bottom style="thin">
        <color rgb="FF808080"/>
      </bottom>
      <diagonal/>
    </border>
  </borders>
  <cellStyleXfs count="17">
    <xf numFmtId="0" fontId="0" fillId="0" borderId="0"/>
    <xf numFmtId="9" fontId="36" fillId="0" borderId="0" applyBorder="0" applyProtection="0"/>
    <xf numFmtId="0" fontId="32" fillId="0" borderId="0" applyBorder="0" applyProtection="0"/>
    <xf numFmtId="0" fontId="1" fillId="2" borderId="0" applyBorder="0" applyProtection="0"/>
    <xf numFmtId="0" fontId="2" fillId="0" borderId="0"/>
    <xf numFmtId="0" fontId="2" fillId="0" borderId="0"/>
    <xf numFmtId="0" fontId="3" fillId="0" borderId="0"/>
    <xf numFmtId="0" fontId="3" fillId="0" borderId="0"/>
    <xf numFmtId="0" fontId="2" fillId="0" borderId="0"/>
    <xf numFmtId="0" fontId="3" fillId="0" borderId="0"/>
    <xf numFmtId="0" fontId="7" fillId="3" borderId="0" applyBorder="0" applyProtection="0"/>
    <xf numFmtId="0" fontId="14" fillId="4" borderId="0" applyBorder="0" applyProtection="0"/>
    <xf numFmtId="0" fontId="7" fillId="5" borderId="0" applyBorder="0" applyProtection="0"/>
    <xf numFmtId="0" fontId="16" fillId="6" borderId="0" applyBorder="0" applyProtection="0"/>
    <xf numFmtId="0" fontId="7" fillId="7" borderId="0" applyBorder="0" applyProtection="0"/>
    <xf numFmtId="0" fontId="19" fillId="8" borderId="0" applyBorder="0" applyProtection="0"/>
    <xf numFmtId="0" fontId="28" fillId="2" borderId="0" applyBorder="0" applyProtection="0"/>
  </cellStyleXfs>
  <cellXfs count="147">
    <xf numFmtId="0" fontId="0" fillId="0" borderId="0" xfId="0"/>
    <xf numFmtId="0" fontId="4" fillId="0" borderId="0" xfId="6" applyFont="1" applyAlignment="1">
      <alignment vertical="center"/>
    </xf>
    <xf numFmtId="0" fontId="5" fillId="9" borderId="1" xfId="5" applyFont="1" applyFill="1" applyBorder="1" applyAlignment="1">
      <alignment horizontal="center" vertical="center" wrapText="1" shrinkToFit="1"/>
    </xf>
    <xf numFmtId="0" fontId="5" fillId="9" borderId="1" xfId="5" applyFont="1" applyFill="1" applyBorder="1" applyAlignment="1">
      <alignment vertical="center" wrapText="1" shrinkToFit="1"/>
    </xf>
    <xf numFmtId="0" fontId="6" fillId="9" borderId="0" xfId="0" applyFont="1" applyFill="1" applyAlignment="1">
      <alignment vertical="center" wrapText="1"/>
    </xf>
    <xf numFmtId="0" fontId="5" fillId="9" borderId="2" xfId="5" applyFont="1" applyFill="1" applyBorder="1" applyAlignment="1">
      <alignment horizontal="center" vertical="center" wrapText="1" shrinkToFit="1"/>
    </xf>
    <xf numFmtId="0" fontId="8" fillId="10" borderId="3" xfId="10" applyFont="1" applyFill="1" applyBorder="1" applyAlignment="1" applyProtection="1">
      <alignment horizontal="center" vertical="center" wrapText="1"/>
    </xf>
    <xf numFmtId="0" fontId="4" fillId="0" borderId="5" xfId="6" applyFont="1" applyBorder="1" applyAlignment="1">
      <alignment horizontal="center" vertical="center"/>
    </xf>
    <xf numFmtId="0" fontId="4" fillId="0" borderId="6" xfId="6" applyFont="1" applyBorder="1" applyAlignment="1">
      <alignment horizontal="center" vertical="center"/>
    </xf>
    <xf numFmtId="0" fontId="4" fillId="0" borderId="0" xfId="3" applyFont="1" applyFill="1" applyBorder="1" applyAlignment="1" applyProtection="1">
      <alignment vertical="center" wrapText="1"/>
    </xf>
    <xf numFmtId="0" fontId="8" fillId="10" borderId="1" xfId="10" applyFont="1" applyFill="1" applyBorder="1" applyAlignment="1" applyProtection="1">
      <alignment horizontal="center" vertical="center" wrapText="1"/>
    </xf>
    <xf numFmtId="0" fontId="9" fillId="0" borderId="0" xfId="0" applyFont="1" applyAlignment="1">
      <alignment vertical="center"/>
    </xf>
    <xf numFmtId="0" fontId="10" fillId="11" borderId="1" xfId="3" applyFont="1" applyFill="1" applyBorder="1" applyAlignment="1" applyProtection="1">
      <alignment horizontal="left" vertical="center" wrapText="1" shrinkToFit="1"/>
    </xf>
    <xf numFmtId="0" fontId="4" fillId="0" borderId="4" xfId="0" applyFont="1" applyBorder="1" applyAlignment="1">
      <alignment horizontal="center" vertical="center"/>
    </xf>
    <xf numFmtId="0" fontId="4" fillId="0" borderId="4" xfId="3" applyFont="1" applyFill="1" applyBorder="1" applyAlignment="1" applyProtection="1">
      <alignment vertical="center" wrapText="1"/>
    </xf>
    <xf numFmtId="49" fontId="4" fillId="0" borderId="5" xfId="9" applyNumberFormat="1" applyFont="1" applyBorder="1" applyAlignment="1">
      <alignment horizontal="center" vertical="center"/>
    </xf>
    <xf numFmtId="0" fontId="11" fillId="0" borderId="5" xfId="3" applyFont="1" applyFill="1" applyBorder="1" applyAlignment="1" applyProtection="1">
      <alignment vertical="center" wrapText="1"/>
    </xf>
    <xf numFmtId="0" fontId="4" fillId="0" borderId="5" xfId="3" applyFont="1" applyFill="1" applyBorder="1" applyAlignment="1" applyProtection="1">
      <alignment vertical="center" wrapText="1"/>
    </xf>
    <xf numFmtId="0" fontId="12" fillId="0" borderId="5" xfId="0" applyFont="1" applyBorder="1" applyAlignment="1">
      <alignment vertical="center"/>
    </xf>
    <xf numFmtId="0" fontId="12" fillId="0" borderId="6" xfId="0" applyFont="1" applyBorder="1" applyAlignment="1">
      <alignment vertical="center"/>
    </xf>
    <xf numFmtId="49" fontId="4" fillId="0" borderId="0" xfId="9" applyNumberFormat="1" applyFont="1" applyAlignment="1">
      <alignment horizontal="left" vertical="center"/>
    </xf>
    <xf numFmtId="0" fontId="4" fillId="0" borderId="0" xfId="0" applyFont="1" applyAlignment="1">
      <alignment vertical="center"/>
    </xf>
    <xf numFmtId="0" fontId="4" fillId="0" borderId="1" xfId="6" applyFont="1" applyBorder="1" applyAlignment="1" applyProtection="1">
      <alignment horizontal="center" vertical="center"/>
      <protection locked="0"/>
    </xf>
    <xf numFmtId="0" fontId="13" fillId="4" borderId="1" xfId="11" applyFont="1" applyBorder="1" applyAlignment="1" applyProtection="1">
      <alignment horizontal="center" vertical="center"/>
    </xf>
    <xf numFmtId="0" fontId="13" fillId="5" borderId="1" xfId="12" applyFont="1" applyBorder="1" applyAlignment="1" applyProtection="1">
      <alignment horizontal="center" vertical="center"/>
    </xf>
    <xf numFmtId="0" fontId="15" fillId="6" borderId="1" xfId="13" applyFont="1" applyBorder="1" applyAlignment="1" applyProtection="1">
      <alignment horizontal="center" vertical="center"/>
    </xf>
    <xf numFmtId="0" fontId="17" fillId="7" borderId="1" xfId="14" applyFont="1" applyBorder="1" applyAlignment="1" applyProtection="1">
      <alignment horizontal="center" vertical="center"/>
    </xf>
    <xf numFmtId="0" fontId="18" fillId="8" borderId="4" xfId="15" applyFont="1" applyBorder="1" applyAlignment="1" applyProtection="1">
      <alignment horizontal="center" vertical="center"/>
    </xf>
    <xf numFmtId="0" fontId="13" fillId="4" borderId="4" xfId="11" applyFont="1" applyBorder="1" applyAlignment="1" applyProtection="1">
      <alignment horizontal="center" vertical="center"/>
    </xf>
    <xf numFmtId="0" fontId="18" fillId="8" borderId="1" xfId="15" applyFont="1" applyBorder="1" applyAlignment="1" applyProtection="1">
      <alignment horizontal="center" vertical="center"/>
    </xf>
    <xf numFmtId="0" fontId="11" fillId="0" borderId="0" xfId="0" applyFont="1" applyAlignment="1">
      <alignment vertical="center"/>
    </xf>
    <xf numFmtId="0" fontId="12" fillId="0" borderId="0" xfId="6" applyFont="1" applyAlignment="1">
      <alignment vertical="center"/>
    </xf>
    <xf numFmtId="164" fontId="4" fillId="0" borderId="0" xfId="6" applyNumberFormat="1" applyFont="1" applyAlignment="1">
      <alignment horizontal="left" vertical="center"/>
    </xf>
    <xf numFmtId="0" fontId="11" fillId="0" borderId="0" xfId="6" applyFont="1" applyAlignment="1">
      <alignment vertical="center"/>
    </xf>
    <xf numFmtId="0" fontId="20" fillId="0" borderId="0" xfId="6" applyFont="1" applyAlignment="1">
      <alignment vertical="center"/>
    </xf>
    <xf numFmtId="0" fontId="4" fillId="0" borderId="0" xfId="0" applyFont="1"/>
    <xf numFmtId="0" fontId="8" fillId="10" borderId="1" xfId="5" applyFont="1" applyFill="1" applyBorder="1" applyAlignment="1">
      <alignment horizontal="center" vertical="center" wrapText="1" shrinkToFit="1"/>
    </xf>
    <xf numFmtId="0" fontId="11" fillId="10" borderId="1" xfId="5" applyFont="1" applyFill="1" applyBorder="1" applyAlignment="1">
      <alignment vertical="center" wrapText="1" shrinkToFit="1"/>
    </xf>
    <xf numFmtId="0" fontId="4" fillId="0" borderId="0" xfId="0" applyFont="1" applyAlignment="1">
      <alignment vertical="center" wrapText="1"/>
    </xf>
    <xf numFmtId="0" fontId="22" fillId="10" borderId="1" xfId="5" applyFont="1" applyFill="1" applyBorder="1" applyAlignment="1">
      <alignment horizontal="center" vertical="center" wrapText="1" shrinkToFit="1"/>
    </xf>
    <xf numFmtId="0" fontId="11" fillId="0" borderId="1" xfId="5" applyFont="1" applyBorder="1" applyAlignment="1">
      <alignment vertical="center" wrapText="1" shrinkToFit="1"/>
    </xf>
    <xf numFmtId="0" fontId="23" fillId="0" borderId="1" xfId="5" applyFont="1" applyBorder="1" applyAlignment="1">
      <alignment horizontal="center" vertical="center" wrapText="1" shrinkToFit="1"/>
    </xf>
    <xf numFmtId="0" fontId="24" fillId="0" borderId="1" xfId="0" applyFont="1" applyBorder="1" applyAlignment="1">
      <alignment horizontal="center" vertical="center"/>
    </xf>
    <xf numFmtId="164" fontId="23" fillId="0" borderId="1" xfId="5" applyNumberFormat="1" applyFont="1" applyBorder="1" applyAlignment="1">
      <alignment horizontal="center" vertical="center" wrapText="1" shrinkToFit="1"/>
    </xf>
    <xf numFmtId="0" fontId="4" fillId="0" borderId="1" xfId="0" applyFont="1" applyBorder="1" applyAlignment="1">
      <alignment horizontal="center" vertical="center"/>
    </xf>
    <xf numFmtId="0" fontId="24" fillId="0" borderId="0" xfId="0" applyFont="1" applyAlignment="1">
      <alignment vertical="center"/>
    </xf>
    <xf numFmtId="0" fontId="23" fillId="12" borderId="1" xfId="8" applyFont="1" applyFill="1" applyBorder="1" applyAlignment="1">
      <alignment horizontal="center" vertical="center" wrapText="1" shrinkToFit="1"/>
    </xf>
    <xf numFmtId="0" fontId="11" fillId="0" borderId="1" xfId="5" applyFont="1" applyBorder="1" applyAlignment="1">
      <alignment horizontal="left" vertical="center" wrapText="1" shrinkToFit="1"/>
    </xf>
    <xf numFmtId="0" fontId="25" fillId="0" borderId="1" xfId="8" applyFont="1" applyBorder="1" applyAlignment="1">
      <alignment horizontal="center" vertical="center" wrapText="1" shrinkToFit="1"/>
    </xf>
    <xf numFmtId="0" fontId="25" fillId="0" borderId="1" xfId="5" applyFont="1" applyBorder="1" applyAlignment="1">
      <alignment horizontal="center" vertical="center" wrapText="1" shrinkToFit="1"/>
    </xf>
    <xf numFmtId="0" fontId="26" fillId="0" borderId="1" xfId="5" applyFont="1" applyBorder="1" applyAlignment="1">
      <alignment horizontal="center" vertical="center" wrapText="1" shrinkToFit="1"/>
    </xf>
    <xf numFmtId="0" fontId="24" fillId="0" borderId="1" xfId="5" applyFont="1" applyBorder="1" applyAlignment="1">
      <alignment horizontal="center" vertical="center" wrapText="1" shrinkToFit="1"/>
    </xf>
    <xf numFmtId="0" fontId="23" fillId="9" borderId="1" xfId="5" applyFont="1" applyFill="1" applyBorder="1" applyAlignment="1">
      <alignment horizontal="center" vertical="center" wrapText="1" shrinkToFit="1"/>
    </xf>
    <xf numFmtId="0" fontId="11" fillId="0" borderId="8" xfId="5" applyFont="1" applyBorder="1" applyAlignment="1">
      <alignment vertical="center" wrapText="1" shrinkToFit="1"/>
    </xf>
    <xf numFmtId="0" fontId="23" fillId="0" borderId="0" xfId="5" applyFont="1" applyAlignment="1">
      <alignment horizontal="center" vertical="center" wrapText="1" shrinkToFit="1"/>
    </xf>
    <xf numFmtId="0" fontId="8" fillId="10" borderId="9" xfId="5" applyFont="1" applyFill="1" applyBorder="1" applyAlignment="1">
      <alignment horizontal="center" vertical="center" wrapText="1" shrinkToFit="1"/>
    </xf>
    <xf numFmtId="0" fontId="11" fillId="10" borderId="10" xfId="5" applyFont="1" applyFill="1" applyBorder="1" applyAlignment="1">
      <alignment vertical="center" wrapText="1" shrinkToFit="1"/>
    </xf>
    <xf numFmtId="0" fontId="11" fillId="10" borderId="11" xfId="5" applyFont="1" applyFill="1" applyBorder="1" applyAlignment="1">
      <alignment vertical="center" wrapText="1" shrinkToFit="1"/>
    </xf>
    <xf numFmtId="0" fontId="8" fillId="10" borderId="1" xfId="5" applyFont="1" applyFill="1" applyBorder="1" applyAlignment="1">
      <alignment vertical="center" wrapText="1" shrinkToFit="1"/>
    </xf>
    <xf numFmtId="0" fontId="11" fillId="0" borderId="1" xfId="9" applyFont="1" applyBorder="1" applyAlignment="1">
      <alignment vertical="center"/>
    </xf>
    <xf numFmtId="9" fontId="25" fillId="0" borderId="1" xfId="1" applyFont="1" applyBorder="1" applyAlignment="1" applyProtection="1">
      <alignment horizontal="center" vertical="center" wrapText="1" shrinkToFit="1"/>
    </xf>
    <xf numFmtId="0" fontId="4" fillId="9" borderId="0" xfId="0" applyFont="1" applyFill="1" applyAlignment="1">
      <alignment vertical="center"/>
    </xf>
    <xf numFmtId="0" fontId="4" fillId="0" borderId="0" xfId="0" applyFont="1" applyAlignment="1">
      <alignment wrapText="1"/>
    </xf>
    <xf numFmtId="0" fontId="8" fillId="10" borderId="1" xfId="10" applyFont="1" applyFill="1" applyBorder="1" applyAlignment="1" applyProtection="1">
      <alignment horizontal="right" vertical="center" wrapText="1"/>
    </xf>
    <xf numFmtId="0" fontId="25" fillId="11" borderId="4" xfId="16" applyFont="1" applyFill="1" applyBorder="1" applyAlignment="1" applyProtection="1">
      <alignment horizontal="right" vertical="center" wrapText="1" shrinkToFit="1"/>
    </xf>
    <xf numFmtId="0" fontId="25" fillId="11" borderId="6" xfId="16" applyFont="1" applyFill="1" applyBorder="1" applyAlignment="1" applyProtection="1">
      <alignment horizontal="right" vertical="center" wrapText="1" shrinkToFit="1"/>
    </xf>
    <xf numFmtId="0" fontId="8" fillId="10" borderId="1" xfId="16" applyFont="1" applyFill="1" applyBorder="1" applyAlignment="1" applyProtection="1">
      <alignment horizontal="center" vertical="center" wrapText="1"/>
    </xf>
    <xf numFmtId="0" fontId="29" fillId="13" borderId="1" xfId="16" applyFont="1" applyFill="1" applyBorder="1" applyAlignment="1" applyProtection="1">
      <alignment horizontal="center" vertical="center" wrapText="1"/>
    </xf>
    <xf numFmtId="0" fontId="30" fillId="0" borderId="0" xfId="0" applyFont="1" applyAlignment="1">
      <alignment vertical="center"/>
    </xf>
    <xf numFmtId="0" fontId="31" fillId="11" borderId="1" xfId="0" applyFont="1" applyFill="1" applyBorder="1" applyAlignment="1">
      <alignment horizontal="left" vertical="center"/>
    </xf>
    <xf numFmtId="0" fontId="4" fillId="0" borderId="1" xfId="0" applyFont="1" applyBorder="1" applyAlignment="1">
      <alignment vertical="center" wrapText="1"/>
    </xf>
    <xf numFmtId="0" fontId="33" fillId="0" borderId="1" xfId="2" applyFont="1" applyBorder="1" applyAlignment="1" applyProtection="1">
      <alignment horizontal="left" vertical="center" wrapText="1"/>
    </xf>
    <xf numFmtId="0" fontId="4" fillId="0" borderId="1" xfId="6" applyFont="1" applyBorder="1" applyAlignment="1">
      <alignment horizontal="left" vertical="top" wrapText="1"/>
    </xf>
    <xf numFmtId="0" fontId="8" fillId="10" borderId="1" xfId="0" applyFont="1" applyFill="1" applyBorder="1" applyAlignment="1">
      <alignment horizontal="center" vertical="center"/>
    </xf>
    <xf numFmtId="0" fontId="8" fillId="10" borderId="1" xfId="7" applyFont="1" applyFill="1" applyBorder="1" applyAlignment="1">
      <alignment horizontal="center" vertical="center" wrapText="1" shrinkToFit="1"/>
    </xf>
    <xf numFmtId="0" fontId="8" fillId="10" borderId="4" xfId="7" applyFont="1" applyFill="1" applyBorder="1" applyAlignment="1">
      <alignment horizontal="center" vertical="center" wrapText="1" shrinkToFit="1"/>
    </xf>
    <xf numFmtId="0" fontId="4" fillId="0" borderId="4" xfId="7" applyFont="1" applyBorder="1" applyAlignment="1">
      <alignment horizontal="center" vertical="center" wrapText="1" shrinkToFit="1"/>
    </xf>
    <xf numFmtId="0" fontId="4" fillId="0" borderId="12" xfId="0" applyFont="1" applyBorder="1" applyAlignment="1">
      <alignment horizontal="center" vertical="center"/>
    </xf>
    <xf numFmtId="0" fontId="33" fillId="0" borderId="12" xfId="2" applyFont="1" applyBorder="1" applyAlignment="1" applyProtection="1">
      <alignment horizontal="center" vertical="center"/>
    </xf>
    <xf numFmtId="0" fontId="4" fillId="0" borderId="5" xfId="7" applyFont="1" applyBorder="1" applyAlignment="1">
      <alignment horizontal="center" vertical="center" wrapText="1" shrinkToFit="1"/>
    </xf>
    <xf numFmtId="0" fontId="4" fillId="0" borderId="5" xfId="0" applyFont="1" applyBorder="1" applyAlignment="1">
      <alignment horizontal="center" vertical="center"/>
    </xf>
    <xf numFmtId="0" fontId="33" fillId="0" borderId="5" xfId="2" applyFont="1" applyBorder="1" applyAlignment="1" applyProtection="1">
      <alignment horizontal="center" vertical="center"/>
    </xf>
    <xf numFmtId="0" fontId="4" fillId="0" borderId="5" xfId="7" applyFont="1" applyBorder="1" applyAlignment="1">
      <alignment horizontal="center" vertical="center" wrapText="1"/>
    </xf>
    <xf numFmtId="0" fontId="35" fillId="0" borderId="4" xfId="7" applyFont="1" applyBorder="1" applyAlignment="1">
      <alignment horizontal="center" vertical="center" wrapText="1"/>
    </xf>
    <xf numFmtId="0" fontId="4" fillId="0" borderId="5" xfId="0" applyFont="1" applyBorder="1" applyAlignment="1">
      <alignment vertical="center"/>
    </xf>
    <xf numFmtId="0" fontId="4" fillId="0" borderId="6" xfId="7" applyFont="1" applyBorder="1" applyAlignment="1">
      <alignment horizontal="center" vertical="center" wrapText="1" shrinkToFit="1"/>
    </xf>
    <xf numFmtId="0" fontId="4" fillId="0" borderId="6" xfId="0" applyFont="1" applyBorder="1" applyAlignment="1">
      <alignment horizontal="center" vertical="center"/>
    </xf>
    <xf numFmtId="0" fontId="4" fillId="0" borderId="0" xfId="7" applyFont="1" applyAlignment="1">
      <alignment horizontal="center" vertical="center" wrapText="1" shrinkToFit="1"/>
    </xf>
    <xf numFmtId="0" fontId="25" fillId="10" borderId="17" xfId="0" applyFont="1" applyFill="1" applyBorder="1" applyAlignment="1">
      <alignment horizontal="center" vertical="center"/>
    </xf>
    <xf numFmtId="0" fontId="25" fillId="10" borderId="18" xfId="0" applyFont="1" applyFill="1" applyBorder="1" applyAlignment="1">
      <alignment horizontal="center" vertical="center"/>
    </xf>
    <xf numFmtId="0" fontId="4" fillId="0" borderId="19" xfId="7" applyFont="1" applyBorder="1" applyAlignment="1">
      <alignment horizontal="center" vertical="center" wrapText="1" shrinkToFit="1"/>
    </xf>
    <xf numFmtId="0" fontId="4" fillId="0" borderId="20" xfId="7" applyFont="1" applyBorder="1" applyAlignment="1">
      <alignment horizontal="center" vertical="center" wrapText="1" shrinkToFit="1"/>
    </xf>
    <xf numFmtId="0" fontId="4" fillId="0" borderId="21" xfId="7" applyFont="1" applyBorder="1" applyAlignment="1">
      <alignment horizontal="center" vertical="center" wrapText="1" shrinkToFit="1"/>
    </xf>
    <xf numFmtId="0" fontId="25" fillId="10" borderId="20" xfId="0" applyFont="1" applyFill="1" applyBorder="1" applyAlignment="1">
      <alignment horizontal="center" vertical="center"/>
    </xf>
    <xf numFmtId="0" fontId="25" fillId="10" borderId="21" xfId="0" applyFont="1" applyFill="1" applyBorder="1" applyAlignment="1">
      <alignment horizontal="center" vertical="center"/>
    </xf>
    <xf numFmtId="0" fontId="10" fillId="11" borderId="19" xfId="0" applyFont="1" applyFill="1" applyBorder="1" applyAlignment="1">
      <alignment horizontal="center" vertical="center"/>
    </xf>
    <xf numFmtId="0" fontId="10" fillId="11" borderId="20" xfId="0" applyFont="1" applyFill="1" applyBorder="1" applyAlignment="1">
      <alignment horizontal="center" vertical="center"/>
    </xf>
    <xf numFmtId="0" fontId="10" fillId="11" borderId="21" xfId="0" applyFont="1" applyFill="1" applyBorder="1" applyAlignment="1">
      <alignment horizontal="center" vertical="center"/>
    </xf>
    <xf numFmtId="0" fontId="23" fillId="0" borderId="19" xfId="0" applyFont="1" applyBorder="1" applyAlignment="1">
      <alignment horizontal="center" vertical="center" wrapText="1" shrinkToFit="1"/>
    </xf>
    <xf numFmtId="0" fontId="23" fillId="0" borderId="20" xfId="0" applyFont="1" applyBorder="1" applyAlignment="1">
      <alignment horizontal="center" vertical="center" wrapText="1" shrinkToFit="1"/>
    </xf>
    <xf numFmtId="164" fontId="23" fillId="0" borderId="20" xfId="0" applyNumberFormat="1" applyFont="1" applyBorder="1" applyAlignment="1">
      <alignment horizontal="center" vertical="center" wrapText="1" shrinkToFit="1"/>
    </xf>
    <xf numFmtId="0" fontId="23" fillId="12" borderId="21" xfId="8" applyFont="1" applyFill="1" applyBorder="1" applyAlignment="1">
      <alignment horizontal="center" vertical="center" wrapText="1" shrinkToFit="1"/>
    </xf>
    <xf numFmtId="0" fontId="23" fillId="0" borderId="22" xfId="0" applyFont="1" applyBorder="1" applyAlignment="1">
      <alignment horizontal="center" vertical="center" wrapText="1" shrinkToFit="1"/>
    </xf>
    <xf numFmtId="0" fontId="23" fillId="0" borderId="23" xfId="0" applyFont="1" applyBorder="1" applyAlignment="1">
      <alignment horizontal="center" vertical="center" wrapText="1" shrinkToFit="1"/>
    </xf>
    <xf numFmtId="164" fontId="23" fillId="0" borderId="23" xfId="0" applyNumberFormat="1" applyFont="1" applyBorder="1" applyAlignment="1">
      <alignment horizontal="center" vertical="center" wrapText="1" shrinkToFit="1"/>
    </xf>
    <xf numFmtId="0" fontId="23" fillId="12" borderId="24" xfId="8" applyFont="1" applyFill="1" applyBorder="1" applyAlignment="1">
      <alignment horizontal="center" vertical="center" wrapText="1" shrinkToFit="1"/>
    </xf>
    <xf numFmtId="0" fontId="23" fillId="0" borderId="0" xfId="0" applyFont="1" applyAlignment="1">
      <alignment horizontal="center" vertical="center" wrapText="1" shrinkToFit="1"/>
    </xf>
    <xf numFmtId="0" fontId="34" fillId="0" borderId="4" xfId="0" applyFont="1" applyBorder="1" applyAlignment="1">
      <alignment horizontal="center" vertical="center" wrapText="1"/>
    </xf>
    <xf numFmtId="0" fontId="4" fillId="0" borderId="0" xfId="0" applyFont="1" applyAlignment="1">
      <alignment horizontal="center" vertical="center"/>
    </xf>
    <xf numFmtId="0" fontId="34" fillId="0" borderId="0" xfId="0" applyFont="1" applyAlignment="1">
      <alignment horizontal="center" vertical="center"/>
    </xf>
    <xf numFmtId="0" fontId="32" fillId="0" borderId="0" xfId="2"/>
    <xf numFmtId="0" fontId="4" fillId="0" borderId="0" xfId="0" applyFont="1" applyAlignment="1">
      <alignment horizontal="center" vertical="top"/>
    </xf>
    <xf numFmtId="0" fontId="31" fillId="14" borderId="1" xfId="0" applyFont="1" applyFill="1" applyBorder="1" applyAlignment="1">
      <alignment horizontal="left" vertical="center"/>
    </xf>
    <xf numFmtId="0" fontId="33" fillId="0" borderId="0" xfId="2" applyFont="1" applyBorder="1" applyAlignment="1" applyProtection="1">
      <alignment horizontal="left" vertical="center" wrapText="1"/>
    </xf>
    <xf numFmtId="0" fontId="4" fillId="0" borderId="0" xfId="6" applyFont="1" applyAlignment="1">
      <alignment horizontal="left" vertical="top" wrapText="1"/>
    </xf>
    <xf numFmtId="0" fontId="4" fillId="0" borderId="4" xfId="6" applyFont="1" applyBorder="1" applyAlignment="1">
      <alignment horizontal="center" vertical="center"/>
    </xf>
    <xf numFmtId="0" fontId="4" fillId="0" borderId="5" xfId="6" applyFont="1" applyBorder="1" applyAlignment="1">
      <alignment horizontal="center" vertical="center"/>
    </xf>
    <xf numFmtId="0" fontId="4" fillId="0" borderId="6" xfId="6" applyFont="1" applyBorder="1" applyAlignment="1">
      <alignment horizontal="center" vertical="center"/>
    </xf>
    <xf numFmtId="0" fontId="8" fillId="10" borderId="1" xfId="10" applyFont="1" applyFill="1" applyBorder="1" applyAlignment="1" applyProtection="1">
      <alignment horizontal="center" vertical="center" wrapText="1"/>
    </xf>
    <xf numFmtId="49" fontId="4" fillId="0" borderId="1" xfId="9" applyNumberFormat="1" applyFont="1" applyBorder="1" applyAlignment="1">
      <alignment horizontal="left" vertical="center"/>
    </xf>
    <xf numFmtId="0" fontId="10" fillId="11" borderId="7" xfId="3" applyFont="1" applyFill="1" applyBorder="1" applyAlignment="1" applyProtection="1">
      <alignment horizontal="left" vertical="center" wrapText="1" shrinkToFit="1"/>
    </xf>
    <xf numFmtId="49" fontId="4" fillId="0" borderId="1" xfId="9" applyNumberFormat="1" applyFont="1" applyBorder="1" applyAlignment="1">
      <alignment horizontal="left" vertical="center" wrapText="1"/>
    </xf>
    <xf numFmtId="0" fontId="4" fillId="0" borderId="1" xfId="6" applyFont="1" applyBorder="1" applyAlignment="1">
      <alignment horizontal="center" vertical="center"/>
    </xf>
    <xf numFmtId="165" fontId="27" fillId="10" borderId="1" xfId="10" applyNumberFormat="1" applyFont="1" applyFill="1" applyBorder="1" applyAlignment="1" applyProtection="1">
      <alignment horizontal="center" vertical="center" wrapText="1"/>
    </xf>
    <xf numFmtId="166" fontId="27" fillId="10" borderId="1" xfId="10" applyNumberFormat="1" applyFont="1" applyFill="1" applyBorder="1" applyAlignment="1" applyProtection="1">
      <alignment horizontal="center" vertical="center" wrapText="1"/>
    </xf>
    <xf numFmtId="0" fontId="32" fillId="0" borderId="1" xfId="2" applyBorder="1" applyProtection="1"/>
    <xf numFmtId="0" fontId="27" fillId="10" borderId="1" xfId="10" applyFont="1" applyFill="1" applyBorder="1" applyAlignment="1" applyProtection="1">
      <alignment horizontal="center" vertical="center" wrapText="1"/>
    </xf>
    <xf numFmtId="0" fontId="4" fillId="9" borderId="1" xfId="10" applyFont="1" applyFill="1" applyBorder="1" applyAlignment="1" applyProtection="1">
      <alignment horizontal="center" vertical="center" wrapText="1"/>
    </xf>
    <xf numFmtId="0" fontId="4" fillId="9" borderId="9" xfId="10" applyFont="1" applyFill="1" applyBorder="1" applyAlignment="1" applyProtection="1">
      <alignment horizontal="center" vertical="center" wrapText="1"/>
    </xf>
    <xf numFmtId="0" fontId="11" fillId="9" borderId="1" xfId="10" applyFont="1" applyFill="1" applyBorder="1" applyAlignment="1" applyProtection="1">
      <alignment horizontal="center" vertical="center" wrapText="1"/>
    </xf>
    <xf numFmtId="10" fontId="11" fillId="9" borderId="1" xfId="10" applyNumberFormat="1" applyFont="1" applyFill="1" applyBorder="1" applyAlignment="1" applyProtection="1">
      <alignment horizontal="center" vertical="center" wrapText="1"/>
    </xf>
    <xf numFmtId="0" fontId="11" fillId="9" borderId="11" xfId="10" applyFont="1" applyFill="1" applyBorder="1" applyAlignment="1" applyProtection="1">
      <alignment horizontal="center" vertical="center" wrapText="1"/>
    </xf>
    <xf numFmtId="0" fontId="8" fillId="10" borderId="1" xfId="7" applyFont="1" applyFill="1" applyBorder="1" applyAlignment="1">
      <alignment horizontal="center" vertical="center" wrapText="1" shrinkToFit="1"/>
    </xf>
    <xf numFmtId="0" fontId="11" fillId="0" borderId="1" xfId="7" applyFont="1" applyBorder="1" applyAlignment="1">
      <alignment horizontal="center" vertical="center" wrapText="1" shrinkToFit="1"/>
    </xf>
    <xf numFmtId="0" fontId="12" fillId="0" borderId="5" xfId="7" applyFont="1" applyBorder="1" applyAlignment="1">
      <alignment horizontal="left" vertical="center" wrapText="1"/>
    </xf>
    <xf numFmtId="0" fontId="4" fillId="0" borderId="4" xfId="7" applyFont="1" applyBorder="1" applyAlignment="1">
      <alignment horizontal="center" vertical="center" wrapText="1"/>
    </xf>
    <xf numFmtId="0" fontId="11" fillId="0" borderId="6" xfId="7" applyFont="1" applyBorder="1" applyAlignment="1">
      <alignment horizontal="center" vertical="center" wrapText="1" shrinkToFit="1"/>
    </xf>
    <xf numFmtId="0" fontId="8" fillId="10" borderId="16" xfId="0" applyFont="1" applyFill="1" applyBorder="1" applyAlignment="1">
      <alignment horizontal="center" vertical="center"/>
    </xf>
    <xf numFmtId="0" fontId="8" fillId="10" borderId="19" xfId="0" applyFont="1" applyFill="1" applyBorder="1" applyAlignment="1">
      <alignment horizontal="center" vertical="center"/>
    </xf>
    <xf numFmtId="0" fontId="11" fillId="0" borderId="9" xfId="7" applyFont="1" applyBorder="1" applyAlignment="1">
      <alignment horizontal="center" vertical="center" wrapText="1" shrinkToFit="1"/>
    </xf>
    <xf numFmtId="0" fontId="12" fillId="0" borderId="13" xfId="7" applyFont="1" applyBorder="1" applyAlignment="1">
      <alignment horizontal="left" vertical="center" wrapText="1"/>
    </xf>
    <xf numFmtId="0" fontId="12" fillId="0" borderId="14" xfId="7" applyFont="1" applyBorder="1" applyAlignment="1">
      <alignment horizontal="center" vertical="center" wrapText="1"/>
    </xf>
    <xf numFmtId="0" fontId="12" fillId="0" borderId="14" xfId="7" applyFont="1" applyBorder="1" applyAlignment="1">
      <alignment horizontal="left" vertical="center" wrapText="1"/>
    </xf>
    <xf numFmtId="0" fontId="12" fillId="0" borderId="15" xfId="7" applyFont="1" applyBorder="1" applyAlignment="1">
      <alignment horizontal="left" vertical="center" wrapText="1"/>
    </xf>
    <xf numFmtId="0" fontId="34" fillId="0" borderId="0" xfId="0" applyNumberFormat="1" applyFont="1" applyFill="1" applyBorder="1" applyAlignment="1" applyProtection="1">
      <alignment vertical="center"/>
    </xf>
    <xf numFmtId="0" fontId="34" fillId="0" borderId="1" xfId="0" applyNumberFormat="1" applyFont="1" applyFill="1" applyBorder="1" applyAlignment="1" applyProtection="1">
      <alignment vertical="center" wrapText="1"/>
    </xf>
    <xf numFmtId="0" fontId="34" fillId="0" borderId="0" xfId="0" applyNumberFormat="1" applyFont="1" applyFill="1" applyBorder="1" applyAlignment="1" applyProtection="1"/>
  </cellXfs>
  <cellStyles count="17">
    <cellStyle name="20% - Accent4 2" xfId="3" xr:uid="{00000000-0005-0000-0000-000006000000}"/>
    <cellStyle name="Excel Built-in 20% - Accent4" xfId="16" xr:uid="{00000000-0005-0000-0000-000013000000}"/>
    <cellStyle name="Excel Built-in Accent3" xfId="12" xr:uid="{00000000-0005-0000-0000-00000F000000}"/>
    <cellStyle name="Excel Built-in Accent4" xfId="10" xr:uid="{00000000-0005-0000-0000-00000D000000}"/>
    <cellStyle name="Excel Built-in Accent6" xfId="14" xr:uid="{00000000-0005-0000-0000-000011000000}"/>
    <cellStyle name="Excel Built-in Bad" xfId="15" xr:uid="{00000000-0005-0000-0000-000012000000}"/>
    <cellStyle name="Excel Built-in Good" xfId="11" xr:uid="{00000000-0005-0000-0000-00000E000000}"/>
    <cellStyle name="Excel Built-in Neutral" xfId="13" xr:uid="{00000000-0005-0000-0000-000010000000}"/>
    <cellStyle name="Hyperlink" xfId="2" builtinId="8"/>
    <cellStyle name="Normal" xfId="0" builtinId="0"/>
    <cellStyle name="Normal 2" xfId="4" xr:uid="{00000000-0005-0000-0000-000007000000}"/>
    <cellStyle name="Normal 3 2" xfId="5" xr:uid="{00000000-0005-0000-0000-000008000000}"/>
    <cellStyle name="Normal_NRA_Acceptance Sheet" xfId="6" xr:uid="{00000000-0005-0000-0000-000009000000}"/>
    <cellStyle name="Normal_QA Example - Acceptance Sheet" xfId="7" xr:uid="{00000000-0005-0000-0000-00000A000000}"/>
    <cellStyle name="Normal_Sheet1 4" xfId="8" xr:uid="{00000000-0005-0000-0000-00000B000000}"/>
    <cellStyle name="Normal_Sheet2" xfId="9" xr:uid="{00000000-0005-0000-0000-00000C000000}"/>
    <cellStyle name="Percent" xfId="1" builtinId="5"/>
  </cellStyles>
  <dxfs count="74">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865600"/>
      </font>
      <fill>
        <patternFill>
          <bgColor rgb="FFFFEB9C"/>
        </patternFill>
      </fill>
      <border diagonalUp="0" diagonalDown="0">
        <left style="thin">
          <color auto="1"/>
        </left>
        <right style="thin">
          <color auto="1"/>
        </right>
        <top style="thin">
          <color auto="1"/>
        </top>
        <bottom style="thin">
          <color auto="1"/>
        </bottom>
      </border>
    </dxf>
    <dxf>
      <font>
        <color rgb="FF974706"/>
      </font>
      <fill>
        <patternFill>
          <bgColor rgb="FFF79646"/>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865600"/>
      </font>
      <fill>
        <patternFill>
          <bgColor rgb="FFFFEB9C"/>
        </patternFill>
      </fill>
      <border diagonalUp="0" diagonalDown="0">
        <left style="thin">
          <color auto="1"/>
        </left>
        <right style="thin">
          <color auto="1"/>
        </right>
        <top style="thin">
          <color auto="1"/>
        </top>
        <bottom style="thin">
          <color auto="1"/>
        </bottom>
      </border>
    </dxf>
    <dxf>
      <font>
        <color rgb="FF974706"/>
      </font>
      <fill>
        <patternFill>
          <bgColor rgb="FFF79646"/>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00000"/>
      <rgbColor rgb="FF00FFFF"/>
      <rgbColor rgb="FF9C0006"/>
      <rgbColor rgb="FF006100"/>
      <rgbColor rgb="FF000080"/>
      <rgbColor rgb="FF9C6500"/>
      <rgbColor rgb="FFC00000"/>
      <rgbColor rgb="FF4F81BD"/>
      <rgbColor rgb="FFE6E0EC"/>
      <rgbColor rgb="FF808080"/>
      <rgbColor rgb="FF7CACBC"/>
      <rgbColor rgb="FF963634"/>
      <rgbColor rgb="FFFFFFCC"/>
      <rgbColor rgb="FFF2F2F2"/>
      <rgbColor rgb="FF625B38"/>
      <rgbColor rgb="FFF79646"/>
      <rgbColor rgb="FF595959"/>
      <rgbColor rgb="FFD8BFEB"/>
      <rgbColor rgb="FF000080"/>
      <rgbColor rgb="FFFF00FF"/>
      <rgbColor rgb="FFFFF019"/>
      <rgbColor rgb="FF00FFFF"/>
      <rgbColor rgb="FFC9211E"/>
      <rgbColor rgb="FF632523"/>
      <rgbColor rgb="FF4D5361"/>
      <rgbColor rgb="FF0000FF"/>
      <rgbColor rgb="FF00CCFF"/>
      <rgbColor rgb="FFC3DFF9"/>
      <rgbColor rgb="FFC6EFCE"/>
      <rgbColor rgb="FFFFEB9C"/>
      <rgbColor rgb="FF8AC181"/>
      <rgbColor rgb="FFDA9694"/>
      <rgbColor rgb="FF865600"/>
      <rgbColor rgb="FFFFC7CE"/>
      <rgbColor rgb="FF4A7EBB"/>
      <rgbColor rgb="FF33C533"/>
      <rgbColor rgb="FF9BBB59"/>
      <rgbColor rgb="FFFFC800"/>
      <rgbColor rgb="FFFF8C00"/>
      <rgbColor rgb="FF984807"/>
      <rgbColor rgb="FF8064A2"/>
      <rgbColor rgb="FF878787"/>
      <rgbColor rgb="FF363636"/>
      <rgbColor rgb="FF437381"/>
      <rgbColor rgb="FF1E3E20"/>
      <rgbColor rgb="FF363600"/>
      <rgbColor rgb="FF974706"/>
      <rgbColor rgb="FFBE4B48"/>
      <rgbColor rgb="FF40404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000000"/>
                </a:solidFill>
                <a:latin typeface="Arial"/>
                <a:ea typeface="Calibri"/>
              </a:defRPr>
            </a:pPr>
            <a:r>
              <a:rPr lang="en-US" sz="1000" b="1" strike="noStrike" spc="-1">
                <a:solidFill>
                  <a:srgbClr val="000000"/>
                </a:solidFill>
                <a:latin typeface="Arial"/>
                <a:ea typeface="Calibri"/>
              </a:rPr>
              <a:t>Project Quality Dynamics</a:t>
            </a:r>
          </a:p>
        </c:rich>
      </c:tx>
      <c:layout>
        <c:manualLayout>
          <c:xMode val="edge"/>
          <c:yMode val="edge"/>
          <c:x val="0.79509491552652001"/>
          <c:y val="3.4018077239112599E-2"/>
        </c:manualLayout>
      </c:layout>
      <c:overlay val="0"/>
      <c:spPr>
        <a:noFill/>
        <a:ln>
          <a:noFill/>
        </a:ln>
      </c:spPr>
    </c:title>
    <c:autoTitleDeleted val="0"/>
    <c:plotArea>
      <c:layout>
        <c:manualLayout>
          <c:layoutTarget val="inner"/>
          <c:xMode val="edge"/>
          <c:yMode val="edge"/>
          <c:x val="0.13424723553508799"/>
          <c:y val="0.19720624486442101"/>
          <c:w val="0.78583094594232805"/>
          <c:h val="0.73738701725554601"/>
        </c:manualLayout>
      </c:layout>
      <c:lineChart>
        <c:grouping val="standard"/>
        <c:varyColors val="0"/>
        <c:ser>
          <c:idx val="0"/>
          <c:order val="0"/>
          <c:spPr>
            <a:ln w="28440">
              <a:solidFill>
                <a:srgbClr val="4F81BD"/>
              </a:solidFill>
              <a:round/>
            </a:ln>
          </c:spPr>
          <c:marker>
            <c:symbol val="circle"/>
            <c:size val="4"/>
            <c:spPr>
              <a:solidFill>
                <a:srgbClr val="4F81BD"/>
              </a:solidFill>
            </c:spPr>
          </c:marker>
          <c:dLbls>
            <c:spPr>
              <a:noFill/>
              <a:ln>
                <a:noFill/>
              </a:ln>
              <a:effectLst/>
            </c:spPr>
            <c:txPr>
              <a:bodyPr/>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9"/>
                <c:pt idx="0">
                  <c:v>52</c:v>
                </c:pt>
                <c:pt idx="1">
                  <c:v>8</c:v>
                </c:pt>
                <c:pt idx="2">
                  <c:v>27</c:v>
                </c:pt>
                <c:pt idx="3">
                  <c:v>19</c:v>
                </c:pt>
                <c:pt idx="4">
                  <c:v>22</c:v>
                </c:pt>
                <c:pt idx="5">
                  <c:v>16</c:v>
                </c:pt>
                <c:pt idx="6">
                  <c:v>23</c:v>
                </c:pt>
                <c:pt idx="7">
                  <c:v>13</c:v>
                </c:pt>
                <c:pt idx="8">
                  <c:v>62</c:v>
                </c:pt>
              </c:numCache>
            </c:numRef>
          </c:val>
          <c:smooth val="1"/>
          <c:extLst>
            <c:ext xmlns:c15="http://schemas.microsoft.com/office/drawing/2012/chart" uri="{02D57815-91ED-43cb-92C2-25804820EDAC}">
              <c15:filteredSeriesTitle>
                <c15:tx>
                  <c:strRef>
                    <c:extLst>
                      <c:ext uri="{02D57815-91ED-43cb-92C2-25804820EDAC}">
                        <c15:formulaRef>
                          <c15:sqref>label 0</c15:sqref>
                        </c15:formulaRef>
                      </c:ext>
                    </c:extLst>
                    <c:strCache>
                      <c:ptCount val="1"/>
                      <c:pt idx="0">
                        <c:v>Defects Number</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1</c:v>
                      </c:pt>
                      <c:pt idx="1">
                        <c:v>2</c:v>
                      </c:pt>
                      <c:pt idx="2">
                        <c:v>3</c:v>
                      </c:pt>
                      <c:pt idx="3">
                        <c:v>4</c:v>
                      </c:pt>
                      <c:pt idx="4">
                        <c:v>5</c:v>
                      </c:pt>
                      <c:pt idx="5">
                        <c:v>6</c:v>
                      </c:pt>
                      <c:pt idx="6">
                        <c:v>7</c:v>
                      </c:pt>
                      <c:pt idx="7">
                        <c:v>8</c:v>
                      </c:pt>
                      <c:pt idx="8">
                        <c:v>9</c:v>
                      </c:pt>
                    </c:strCache>
                  </c:strRef>
                </c15:cat>
              </c15:filteredCategoryTitle>
            </c:ext>
            <c:ext xmlns:c16="http://schemas.microsoft.com/office/drawing/2014/chart" uri="{C3380CC4-5D6E-409C-BE32-E72D297353CC}">
              <c16:uniqueId val="{00000000-3834-46AD-879D-8FBE8437A594}"/>
            </c:ext>
          </c:extLst>
        </c:ser>
        <c:dLbls>
          <c:showLegendKey val="0"/>
          <c:showVal val="0"/>
          <c:showCatName val="0"/>
          <c:showSerName val="0"/>
          <c:showPercent val="0"/>
          <c:showBubbleSize val="0"/>
        </c:dLbls>
        <c:hiLowLines>
          <c:spPr>
            <a:ln>
              <a:noFill/>
            </a:ln>
          </c:spPr>
        </c:hiLowLines>
        <c:marker val="1"/>
        <c:smooth val="0"/>
        <c:axId val="28695440"/>
        <c:axId val="35234371"/>
      </c:lineChart>
      <c:lineChart>
        <c:grouping val="standard"/>
        <c:varyColors val="0"/>
        <c:ser>
          <c:idx val="1"/>
          <c:order val="1"/>
          <c:spPr>
            <a:ln w="28440">
              <a:solidFill>
                <a:srgbClr val="BE4B48"/>
              </a:solidFill>
              <a:round/>
            </a:ln>
          </c:spPr>
          <c:marker>
            <c:symbol val="circle"/>
            <c:size val="4"/>
            <c:spPr>
              <a:solidFill>
                <a:srgbClr val="BE4B48"/>
              </a:solidFill>
            </c:spPr>
          </c:marker>
          <c:dLbls>
            <c:spPr>
              <a:noFill/>
              <a:ln>
                <a:noFill/>
              </a:ln>
              <a:effectLst/>
            </c:spPr>
            <c:txPr>
              <a:bodyPr/>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1</c:f>
              <c:numCache>
                <c:formatCode>General</c:formatCode>
                <c:ptCount val="9"/>
                <c:pt idx="0">
                  <c:v>6.8000000000000005E-2</c:v>
                </c:pt>
                <c:pt idx="1">
                  <c:v>0.92300000000000004</c:v>
                </c:pt>
                <c:pt idx="2">
                  <c:v>0.14399999999999999</c:v>
                </c:pt>
                <c:pt idx="3">
                  <c:v>0.20200000000000001</c:v>
                </c:pt>
                <c:pt idx="4">
                  <c:v>2.5999999999999999E-2</c:v>
                </c:pt>
                <c:pt idx="5">
                  <c:v>0.55200000000000005</c:v>
                </c:pt>
                <c:pt idx="6">
                  <c:v>0.64</c:v>
                </c:pt>
                <c:pt idx="7">
                  <c:v>0.76100000000000001</c:v>
                </c:pt>
                <c:pt idx="8">
                  <c:v>4.4999999999999998E-2</c:v>
                </c:pt>
              </c:numCache>
            </c:numRef>
          </c:val>
          <c:smooth val="1"/>
          <c:extLst>
            <c:ext xmlns:c15="http://schemas.microsoft.com/office/drawing/2012/chart" uri="{02D57815-91ED-43cb-92C2-25804820EDAC}">
              <c15:filteredSeriesTitle>
                <c15:tx>
                  <c:strRef>
                    <c:extLst>
                      <c:ext uri="{02D57815-91ED-43cb-92C2-25804820EDAC}">
                        <c15:formulaRef>
                          <c15:sqref>label 1</c15:sqref>
                        </c15:formulaRef>
                      </c:ext>
                    </c:extLst>
                    <c:strCache>
                      <c:ptCount val="1"/>
                      <c:pt idx="0">
                        <c:v>Numerical Quality Evaluation</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1</c:v>
                      </c:pt>
                      <c:pt idx="1">
                        <c:v>2</c:v>
                      </c:pt>
                      <c:pt idx="2">
                        <c:v>3</c:v>
                      </c:pt>
                      <c:pt idx="3">
                        <c:v>4</c:v>
                      </c:pt>
                      <c:pt idx="4">
                        <c:v>5</c:v>
                      </c:pt>
                      <c:pt idx="5">
                        <c:v>6</c:v>
                      </c:pt>
                      <c:pt idx="6">
                        <c:v>7</c:v>
                      </c:pt>
                      <c:pt idx="7">
                        <c:v>8</c:v>
                      </c:pt>
                      <c:pt idx="8">
                        <c:v>9</c:v>
                      </c:pt>
                    </c:strCache>
                  </c:strRef>
                </c15:cat>
              </c15:filteredCategoryTitle>
            </c:ext>
            <c:ext xmlns:c16="http://schemas.microsoft.com/office/drawing/2014/chart" uri="{C3380CC4-5D6E-409C-BE32-E72D297353CC}">
              <c16:uniqueId val="{00000001-3834-46AD-879D-8FBE8437A594}"/>
            </c:ext>
          </c:extLst>
        </c:ser>
        <c:dLbls>
          <c:showLegendKey val="0"/>
          <c:showVal val="0"/>
          <c:showCatName val="0"/>
          <c:showSerName val="0"/>
          <c:showPercent val="0"/>
          <c:showBubbleSize val="0"/>
        </c:dLbls>
        <c:hiLowLines>
          <c:spPr>
            <a:ln>
              <a:noFill/>
            </a:ln>
          </c:spPr>
        </c:hiLowLines>
        <c:marker val="1"/>
        <c:smooth val="0"/>
        <c:axId val="51002833"/>
        <c:axId val="20872206"/>
      </c:lineChart>
      <c:catAx>
        <c:axId val="28695440"/>
        <c:scaling>
          <c:orientation val="minMax"/>
        </c:scaling>
        <c:delete val="1"/>
        <c:axPos val="b"/>
        <c:numFmt formatCode="General" sourceLinked="1"/>
        <c:majorTickMark val="out"/>
        <c:minorTickMark val="none"/>
        <c:tickLblPos val="nextTo"/>
        <c:crossAx val="35234371"/>
        <c:crosses val="autoZero"/>
        <c:auto val="1"/>
        <c:lblAlgn val="ctr"/>
        <c:lblOffset val="100"/>
        <c:noMultiLvlLbl val="1"/>
      </c:catAx>
      <c:valAx>
        <c:axId val="35234371"/>
        <c:scaling>
          <c:orientation val="minMax"/>
        </c:scaling>
        <c:delete val="0"/>
        <c:axPos val="l"/>
        <c:title>
          <c:tx>
            <c:rich>
              <a:bodyPr rot="-5400000"/>
              <a:lstStyle/>
              <a:p>
                <a:pPr>
                  <a:defRPr sz="900" b="1" strike="noStrike" spc="-1">
                    <a:solidFill>
                      <a:srgbClr val="4F81BD"/>
                    </a:solidFill>
                    <a:latin typeface="Arial"/>
                    <a:ea typeface="Calibri"/>
                  </a:defRPr>
                </a:pPr>
                <a:r>
                  <a:rPr lang="en-US" sz="900" b="1" strike="noStrike" spc="-1">
                    <a:solidFill>
                      <a:srgbClr val="4F81BD"/>
                    </a:solidFill>
                    <a:latin typeface="Arial"/>
                    <a:ea typeface="Calibri"/>
                  </a:rPr>
                  <a:t>Defects Quantity</a:t>
                </a:r>
              </a:p>
            </c:rich>
          </c:tx>
          <c:layout>
            <c:manualLayout>
              <c:xMode val="edge"/>
              <c:yMode val="edge"/>
              <c:x val="9.6896837934081201E-2"/>
              <c:y val="0.33525061626951502"/>
            </c:manualLayout>
          </c:layout>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28695440"/>
        <c:crosses val="autoZero"/>
        <c:crossBetween val="midCat"/>
      </c:valAx>
      <c:catAx>
        <c:axId val="51002833"/>
        <c:scaling>
          <c:orientation val="minMax"/>
        </c:scaling>
        <c:delete val="1"/>
        <c:axPos val="b"/>
        <c:numFmt formatCode="General" sourceLinked="1"/>
        <c:majorTickMark val="out"/>
        <c:minorTickMark val="none"/>
        <c:tickLblPos val="nextTo"/>
        <c:crossAx val="20872206"/>
        <c:crosses val="autoZero"/>
        <c:auto val="1"/>
        <c:lblAlgn val="ctr"/>
        <c:lblOffset val="100"/>
        <c:noMultiLvlLbl val="1"/>
      </c:catAx>
      <c:valAx>
        <c:axId val="20872206"/>
        <c:scaling>
          <c:orientation val="minMax"/>
        </c:scaling>
        <c:delete val="0"/>
        <c:axPos val="r"/>
        <c:title>
          <c:tx>
            <c:rich>
              <a:bodyPr rot="-5400000"/>
              <a:lstStyle/>
              <a:p>
                <a:pPr>
                  <a:defRPr sz="900" b="1" strike="noStrike" spc="-1">
                    <a:solidFill>
                      <a:srgbClr val="C00000"/>
                    </a:solidFill>
                    <a:latin typeface="Arial"/>
                    <a:ea typeface="Calibri"/>
                  </a:defRPr>
                </a:pPr>
                <a:r>
                  <a:rPr lang="en-US" sz="900" b="1" strike="noStrike" spc="-1">
                    <a:solidFill>
                      <a:srgbClr val="C00000"/>
                    </a:solidFill>
                    <a:latin typeface="Arial"/>
                    <a:ea typeface="Calibri"/>
                  </a:rPr>
                  <a:t>Numerical Quantity 
Evaluation</a:t>
                </a:r>
              </a:p>
            </c:rich>
          </c:tx>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51002833"/>
        <c:crosses val="max"/>
        <c:crossBetween val="midCat"/>
      </c:valAx>
      <c:spPr>
        <a:solidFill>
          <a:srgbClr val="FFFFFF"/>
        </a:solidFill>
        <a:ln>
          <a:noFill/>
        </a:ln>
      </c:spPr>
    </c:plotArea>
    <c:plotVisOnly val="1"/>
    <c:dispBlanksAs val="gap"/>
    <c:showDLblsOverMax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000000"/>
                </a:solidFill>
                <a:latin typeface="Arial"/>
                <a:ea typeface="Calibri"/>
              </a:defRPr>
            </a:pPr>
            <a:r>
              <a:rPr sz="1000" b="1" strike="noStrike" spc="-1">
                <a:solidFill>
                  <a:srgbClr val="000000"/>
                </a:solidFill>
                <a:latin typeface="Arial"/>
                <a:ea typeface="Calibri"/>
              </a:rPr>
              <a:t>Defects Quantity Dynamics by Severity</a:t>
            </a:r>
          </a:p>
        </c:rich>
      </c:tx>
      <c:layout>
        <c:manualLayout>
          <c:xMode val="edge"/>
          <c:yMode val="edge"/>
          <c:x val="0.77900487918894401"/>
          <c:y val="2.4983649444081098E-2"/>
        </c:manualLayout>
      </c:layout>
      <c:overlay val="0"/>
      <c:spPr>
        <a:noFill/>
        <a:ln>
          <a:noFill/>
        </a:ln>
      </c:spPr>
    </c:title>
    <c:autoTitleDeleted val="0"/>
    <c:plotArea>
      <c:layout>
        <c:manualLayout>
          <c:layoutTarget val="inner"/>
          <c:xMode val="edge"/>
          <c:yMode val="edge"/>
          <c:x val="0.12095713910071"/>
          <c:y val="0.15775016350555901"/>
          <c:w val="0.86387939346130305"/>
          <c:h val="0.62171353826030096"/>
        </c:manualLayout>
      </c:layout>
      <c:barChart>
        <c:barDir val="col"/>
        <c:grouping val="clustered"/>
        <c:varyColors val="0"/>
        <c:ser>
          <c:idx val="0"/>
          <c:order val="0"/>
          <c:spPr>
            <a:solidFill>
              <a:srgbClr val="C00000"/>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9"/>
                <c:pt idx="0">
                  <c:v>1</c:v>
                </c:pt>
                <c:pt idx="1">
                  <c:v>0</c:v>
                </c:pt>
                <c:pt idx="2">
                  <c:v>0</c:v>
                </c:pt>
                <c:pt idx="3">
                  <c:v>0</c:v>
                </c:pt>
                <c:pt idx="4">
                  <c:v>2</c:v>
                </c:pt>
                <c:pt idx="5">
                  <c:v>0</c:v>
                </c:pt>
                <c:pt idx="6">
                  <c:v>0</c:v>
                </c:pt>
                <c:pt idx="7">
                  <c:v>0</c:v>
                </c:pt>
                <c:pt idx="8">
                  <c:v>2</c:v>
                </c:pt>
              </c:numCache>
            </c:numRef>
          </c:val>
          <c:extLst>
            <c:ext xmlns:c15="http://schemas.microsoft.com/office/drawing/2012/chart" uri="{02D57815-91ED-43cb-92C2-25804820EDAC}">
              <c15:filteredSeriesTitle>
                <c15:tx>
                  <c:strRef>
                    <c:extLst>
                      <c:ext uri="{02D57815-91ED-43cb-92C2-25804820EDAC}">
                        <c15:formulaRef>
                          <c15:sqref>label 0</c15:sqref>
                        </c15:formulaRef>
                      </c:ext>
                    </c:extLst>
                    <c:strCache>
                      <c:ptCount val="1"/>
                      <c:pt idx="0">
                        <c:v>Critical</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0-B358-4C18-AE63-38CD95BB8FAA}"/>
            </c:ext>
          </c:extLst>
        </c:ser>
        <c:ser>
          <c:idx val="1"/>
          <c:order val="1"/>
          <c:spPr>
            <a:solidFill>
              <a:srgbClr val="F00000"/>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1</c:f>
              <c:numCache>
                <c:formatCode>General</c:formatCode>
                <c:ptCount val="9"/>
                <c:pt idx="0">
                  <c:v>2</c:v>
                </c:pt>
                <c:pt idx="1">
                  <c:v>0</c:v>
                </c:pt>
                <c:pt idx="2">
                  <c:v>8</c:v>
                </c:pt>
                <c:pt idx="3">
                  <c:v>6</c:v>
                </c:pt>
                <c:pt idx="4">
                  <c:v>7</c:v>
                </c:pt>
                <c:pt idx="5">
                  <c:v>8</c:v>
                </c:pt>
                <c:pt idx="6">
                  <c:v>5</c:v>
                </c:pt>
                <c:pt idx="7">
                  <c:v>3</c:v>
                </c:pt>
                <c:pt idx="8">
                  <c:v>1</c:v>
                </c:pt>
              </c:numCache>
            </c:numRef>
          </c:val>
          <c:extLst>
            <c:ext xmlns:c15="http://schemas.microsoft.com/office/drawing/2012/chart" uri="{02D57815-91ED-43cb-92C2-25804820EDAC}">
              <c15:filteredSeriesTitle>
                <c15:tx>
                  <c:strRef>
                    <c:extLst>
                      <c:ext uri="{02D57815-91ED-43cb-92C2-25804820EDAC}">
                        <c15:formulaRef>
                          <c15:sqref>label 1</c15:sqref>
                        </c15:formulaRef>
                      </c:ext>
                    </c:extLst>
                    <c:strCache>
                      <c:ptCount val="1"/>
                      <c:pt idx="0">
                        <c:v>Major</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1-B358-4C18-AE63-38CD95BB8FAA}"/>
            </c:ext>
          </c:extLst>
        </c:ser>
        <c:ser>
          <c:idx val="2"/>
          <c:order val="2"/>
          <c:spPr>
            <a:solidFill>
              <a:srgbClr val="FF8C00"/>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2</c:f>
              <c:numCache>
                <c:formatCode>General</c:formatCode>
                <c:ptCount val="9"/>
                <c:pt idx="0">
                  <c:v>18</c:v>
                </c:pt>
                <c:pt idx="1">
                  <c:v>0</c:v>
                </c:pt>
                <c:pt idx="2">
                  <c:v>2</c:v>
                </c:pt>
                <c:pt idx="3">
                  <c:v>7</c:v>
                </c:pt>
                <c:pt idx="4">
                  <c:v>2</c:v>
                </c:pt>
                <c:pt idx="5">
                  <c:v>2</c:v>
                </c:pt>
                <c:pt idx="6">
                  <c:v>3</c:v>
                </c:pt>
                <c:pt idx="7">
                  <c:v>2</c:v>
                </c:pt>
                <c:pt idx="8">
                  <c:v>5</c:v>
                </c:pt>
              </c:numCache>
            </c:numRef>
          </c:val>
          <c:extLst>
            <c:ext xmlns:c15="http://schemas.microsoft.com/office/drawing/2012/chart" uri="{02D57815-91ED-43cb-92C2-25804820EDAC}">
              <c15:filteredSeriesTitle>
                <c15:tx>
                  <c:strRef>
                    <c:extLst>
                      <c:ext uri="{02D57815-91ED-43cb-92C2-25804820EDAC}">
                        <c15:formulaRef>
                          <c15:sqref>label 2</c15:sqref>
                        </c15:formulaRef>
                      </c:ext>
                    </c:extLst>
                    <c:strCache>
                      <c:ptCount val="1"/>
                      <c:pt idx="0">
                        <c:v>Average</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2-B358-4C18-AE63-38CD95BB8FAA}"/>
            </c:ext>
          </c:extLst>
        </c:ser>
        <c:ser>
          <c:idx val="3"/>
          <c:order val="3"/>
          <c:spPr>
            <a:solidFill>
              <a:srgbClr val="FFC800"/>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3</c:f>
              <c:numCache>
                <c:formatCode>General</c:formatCode>
                <c:ptCount val="9"/>
                <c:pt idx="0">
                  <c:v>26</c:v>
                </c:pt>
                <c:pt idx="1">
                  <c:v>0</c:v>
                </c:pt>
                <c:pt idx="2">
                  <c:v>9</c:v>
                </c:pt>
                <c:pt idx="3">
                  <c:v>6</c:v>
                </c:pt>
                <c:pt idx="4">
                  <c:v>7</c:v>
                </c:pt>
                <c:pt idx="5">
                  <c:v>4</c:v>
                </c:pt>
                <c:pt idx="6">
                  <c:v>7</c:v>
                </c:pt>
                <c:pt idx="7">
                  <c:v>6</c:v>
                </c:pt>
                <c:pt idx="8">
                  <c:v>15</c:v>
                </c:pt>
              </c:numCache>
            </c:numRef>
          </c:val>
          <c:extLst>
            <c:ext xmlns:c15="http://schemas.microsoft.com/office/drawing/2012/chart" uri="{02D57815-91ED-43cb-92C2-25804820EDAC}">
              <c15:filteredSeriesTitle>
                <c15:tx>
                  <c:strRef>
                    <c:extLst>
                      <c:ext uri="{02D57815-91ED-43cb-92C2-25804820EDAC}">
                        <c15:formulaRef>
                          <c15:sqref>label 3</c15:sqref>
                        </c15:formulaRef>
                      </c:ext>
                    </c:extLst>
                    <c:strCache>
                      <c:ptCount val="1"/>
                      <c:pt idx="0">
                        <c:v>Minor</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3-B358-4C18-AE63-38CD95BB8FAA}"/>
            </c:ext>
          </c:extLst>
        </c:ser>
        <c:ser>
          <c:idx val="4"/>
          <c:order val="4"/>
          <c:spPr>
            <a:solidFill>
              <a:srgbClr val="FFF019"/>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4</c:f>
              <c:numCache>
                <c:formatCode>General</c:formatCode>
                <c:ptCount val="9"/>
                <c:pt idx="0">
                  <c:v>5</c:v>
                </c:pt>
                <c:pt idx="1">
                  <c:v>8</c:v>
                </c:pt>
                <c:pt idx="2">
                  <c:v>8</c:v>
                </c:pt>
                <c:pt idx="3">
                  <c:v>0</c:v>
                </c:pt>
                <c:pt idx="4">
                  <c:v>4</c:v>
                </c:pt>
                <c:pt idx="5">
                  <c:v>2</c:v>
                </c:pt>
                <c:pt idx="6">
                  <c:v>8</c:v>
                </c:pt>
                <c:pt idx="7">
                  <c:v>2</c:v>
                </c:pt>
                <c:pt idx="8">
                  <c:v>40</c:v>
                </c:pt>
              </c:numCache>
            </c:numRef>
          </c:val>
          <c:extLst>
            <c:ext xmlns:c15="http://schemas.microsoft.com/office/drawing/2012/chart" uri="{02D57815-91ED-43cb-92C2-25804820EDAC}">
              <c15:filteredSeriesTitle>
                <c15:tx>
                  <c:strRef>
                    <c:extLst>
                      <c:ext uri="{02D57815-91ED-43cb-92C2-25804820EDAC}">
                        <c15:formulaRef>
                          <c15:sqref>label 4</c15:sqref>
                        </c15:formulaRef>
                      </c:ext>
                    </c:extLst>
                    <c:strCache>
                      <c:ptCount val="1"/>
                      <c:pt idx="0">
                        <c:v>Enhancement</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4-B358-4C18-AE63-38CD95BB8FAA}"/>
            </c:ext>
          </c:extLst>
        </c:ser>
        <c:dLbls>
          <c:showLegendKey val="0"/>
          <c:showVal val="0"/>
          <c:showCatName val="0"/>
          <c:showSerName val="0"/>
          <c:showPercent val="0"/>
          <c:showBubbleSize val="0"/>
        </c:dLbls>
        <c:gapWidth val="150"/>
        <c:axId val="83938839"/>
        <c:axId val="18384982"/>
      </c:barChart>
      <c:catAx>
        <c:axId val="83938839"/>
        <c:scaling>
          <c:orientation val="minMax"/>
        </c:scaling>
        <c:delete val="0"/>
        <c:axPos val="b"/>
        <c:title>
          <c:tx>
            <c:rich>
              <a:bodyPr rot="0"/>
              <a:lstStyle/>
              <a:p>
                <a:pPr>
                  <a:defRPr sz="900" b="1" strike="noStrike" spc="-1">
                    <a:solidFill>
                      <a:srgbClr val="000000"/>
                    </a:solidFill>
                    <a:latin typeface="Arial"/>
                    <a:ea typeface="Calibri"/>
                  </a:defRPr>
                </a:pPr>
                <a:r>
                  <a:rPr sz="900" b="1" strike="noStrike" spc="-1">
                    <a:solidFill>
                      <a:srgbClr val="000000"/>
                    </a:solidFill>
                    <a:latin typeface="Arial"/>
                    <a:ea typeface="Calibri"/>
                  </a:rPr>
                  <a:t>Build Number</a:t>
                </a:r>
              </a:p>
            </c:rich>
          </c:tx>
          <c:layout>
            <c:manualLayout>
              <c:xMode val="edge"/>
              <c:yMode val="edge"/>
              <c:x val="0.90054635229497204"/>
              <c:y val="0.87926749509483304"/>
            </c:manualLayout>
          </c:layout>
          <c:overlay val="0"/>
          <c:spPr>
            <a:noFill/>
            <a:ln>
              <a:noFill/>
            </a:ln>
          </c:spPr>
        </c:title>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18384982"/>
        <c:crosses val="autoZero"/>
        <c:auto val="1"/>
        <c:lblAlgn val="ctr"/>
        <c:lblOffset val="100"/>
        <c:noMultiLvlLbl val="1"/>
      </c:catAx>
      <c:valAx>
        <c:axId val="18384982"/>
        <c:scaling>
          <c:orientation val="minMax"/>
        </c:scaling>
        <c:delete val="0"/>
        <c:axPos val="l"/>
        <c:title>
          <c:tx>
            <c:rich>
              <a:bodyPr rot="-5400000"/>
              <a:lstStyle/>
              <a:p>
                <a:pPr>
                  <a:defRPr sz="900" b="1" strike="noStrike" spc="-1">
                    <a:solidFill>
                      <a:srgbClr val="000000"/>
                    </a:solidFill>
                    <a:latin typeface="Arial"/>
                    <a:ea typeface="Calibri"/>
                  </a:defRPr>
                </a:pPr>
                <a:r>
                  <a:rPr sz="900" b="1" strike="noStrike" spc="-1">
                    <a:solidFill>
                      <a:srgbClr val="000000"/>
                    </a:solidFill>
                    <a:latin typeface="Arial"/>
                    <a:ea typeface="Calibri"/>
                  </a:rPr>
                  <a:t>Defects Quantity</a:t>
                </a:r>
              </a:p>
            </c:rich>
          </c:tx>
          <c:layout>
            <c:manualLayout>
              <c:xMode val="edge"/>
              <c:yMode val="edge"/>
              <c:x val="8.0462792532211405E-2"/>
              <c:y val="0.27063440156965302"/>
            </c:manualLayout>
          </c:layout>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83938839"/>
        <c:crosses val="autoZero"/>
        <c:crossBetween val="between"/>
      </c:valAx>
      <c:spPr>
        <a:solidFill>
          <a:srgbClr val="FFFFFF"/>
        </a:solidFill>
        <a:ln>
          <a:noFill/>
        </a:ln>
      </c:spPr>
    </c:plotArea>
    <c:legend>
      <c:legendPos val="r"/>
      <c:layout>
        <c:manualLayout>
          <c:xMode val="edge"/>
          <c:yMode val="edge"/>
          <c:x val="2.18221494817239E-3"/>
          <c:y val="0.26066933674813098"/>
          <c:w val="7.8295724491067101E-2"/>
          <c:h val="0.41868584766004602"/>
        </c:manualLayout>
      </c:layout>
      <c:overlay val="0"/>
      <c:spPr>
        <a:noFill/>
        <a:ln>
          <a:noFill/>
        </a:ln>
      </c:spPr>
      <c:txPr>
        <a:bodyPr/>
        <a:lstStyle/>
        <a:p>
          <a:pPr>
            <a:defRPr sz="900" b="0" strike="noStrike" spc="-1">
              <a:solidFill>
                <a:srgbClr val="000000"/>
              </a:solidFill>
              <a:latin typeface="Arial"/>
              <a:ea typeface="Calibri"/>
            </a:defRPr>
          </a:pPr>
          <a:endParaRPr lang="en-US"/>
        </a:p>
      </c:txPr>
    </c:legend>
    <c:plotVisOnly val="1"/>
    <c:dispBlanksAs val="gap"/>
    <c:showDLblsOverMax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000000"/>
                </a:solidFill>
                <a:latin typeface="Arial"/>
                <a:ea typeface="Calibri"/>
              </a:defRPr>
            </a:pPr>
            <a:r>
              <a:rPr sz="1000" b="1" strike="noStrike" spc="-1">
                <a:solidFill>
                  <a:srgbClr val="000000"/>
                </a:solidFill>
                <a:latin typeface="Arial"/>
                <a:ea typeface="Calibri"/>
              </a:rPr>
              <a:t>Defects Quantity vs. Project Size Dynamics</a:t>
            </a:r>
          </a:p>
        </c:rich>
      </c:tx>
      <c:layout>
        <c:manualLayout>
          <c:xMode val="edge"/>
          <c:yMode val="edge"/>
          <c:x val="0.725898474992002"/>
          <c:y val="3.4205788671929097E-2"/>
        </c:manualLayout>
      </c:layout>
      <c:overlay val="0"/>
      <c:spPr>
        <a:noFill/>
        <a:ln>
          <a:noFill/>
        </a:ln>
      </c:spPr>
    </c:title>
    <c:autoTitleDeleted val="0"/>
    <c:plotArea>
      <c:layout>
        <c:manualLayout>
          <c:layoutTarget val="inner"/>
          <c:xMode val="edge"/>
          <c:yMode val="edge"/>
          <c:x val="0.13383811453556599"/>
          <c:y val="0.197202603517518"/>
          <c:w val="0.79401727631438601"/>
          <c:h val="0.59437751004016104"/>
        </c:manualLayout>
      </c:layout>
      <c:lineChart>
        <c:grouping val="standard"/>
        <c:varyColors val="0"/>
        <c:ser>
          <c:idx val="0"/>
          <c:order val="0"/>
          <c:spPr>
            <a:ln w="28440">
              <a:solidFill>
                <a:srgbClr val="4A7EBB"/>
              </a:solidFill>
              <a:round/>
            </a:ln>
          </c:spPr>
          <c:marker>
            <c:symbol val="circle"/>
            <c:size val="4"/>
            <c:spPr>
              <a:solidFill>
                <a:srgbClr val="4A7EBB"/>
              </a:solidFill>
            </c:spPr>
          </c:marker>
          <c:dLbls>
            <c:spPr>
              <a:noFill/>
              <a:ln>
                <a:noFill/>
              </a:ln>
              <a:effectLst/>
            </c:spPr>
            <c:txPr>
              <a:bodyPr/>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9"/>
                <c:pt idx="0">
                  <c:v>52</c:v>
                </c:pt>
                <c:pt idx="1">
                  <c:v>8</c:v>
                </c:pt>
                <c:pt idx="2">
                  <c:v>27</c:v>
                </c:pt>
                <c:pt idx="3">
                  <c:v>19</c:v>
                </c:pt>
                <c:pt idx="4">
                  <c:v>22</c:v>
                </c:pt>
                <c:pt idx="5">
                  <c:v>16</c:v>
                </c:pt>
                <c:pt idx="6">
                  <c:v>23</c:v>
                </c:pt>
                <c:pt idx="7">
                  <c:v>13</c:v>
                </c:pt>
                <c:pt idx="8">
                  <c:v>62</c:v>
                </c:pt>
              </c:numCache>
            </c:numRef>
          </c:val>
          <c:smooth val="0"/>
          <c:extLst>
            <c:ext xmlns:c15="http://schemas.microsoft.com/office/drawing/2012/chart" uri="{02D57815-91ED-43cb-92C2-25804820EDAC}">
              <c15:filteredSeriesTitle>
                <c15:tx>
                  <c:strRef>
                    <c:extLst>
                      <c:ext uri="{02D57815-91ED-43cb-92C2-25804820EDAC}">
                        <c15:formulaRef>
                          <c15:sqref>label 0</c15:sqref>
                        </c15:formulaRef>
                      </c:ext>
                    </c:extLst>
                    <c:strCache>
                      <c:ptCount val="1"/>
                      <c:pt idx="0">
                        <c:v>Defects Number</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1</c:v>
                      </c:pt>
                      <c:pt idx="1">
                        <c:v>2</c:v>
                      </c:pt>
                      <c:pt idx="2">
                        <c:v>3</c:v>
                      </c:pt>
                      <c:pt idx="3">
                        <c:v>4</c:v>
                      </c:pt>
                      <c:pt idx="4">
                        <c:v>5</c:v>
                      </c:pt>
                      <c:pt idx="5">
                        <c:v>6</c:v>
                      </c:pt>
                      <c:pt idx="6">
                        <c:v>7</c:v>
                      </c:pt>
                      <c:pt idx="7">
                        <c:v>8</c:v>
                      </c:pt>
                      <c:pt idx="8">
                        <c:v>9</c:v>
                      </c:pt>
                    </c:strCache>
                  </c:strRef>
                </c15:cat>
              </c15:filteredCategoryTitle>
            </c:ext>
            <c:ext xmlns:c16="http://schemas.microsoft.com/office/drawing/2014/chart" uri="{C3380CC4-5D6E-409C-BE32-E72D297353CC}">
              <c16:uniqueId val="{00000000-F9B4-4010-BEB6-A147E569E3AD}"/>
            </c:ext>
          </c:extLst>
        </c:ser>
        <c:dLbls>
          <c:showLegendKey val="0"/>
          <c:showVal val="0"/>
          <c:showCatName val="0"/>
          <c:showSerName val="0"/>
          <c:showPercent val="0"/>
          <c:showBubbleSize val="0"/>
        </c:dLbls>
        <c:hiLowLines>
          <c:spPr>
            <a:ln>
              <a:noFill/>
            </a:ln>
          </c:spPr>
        </c:hiLowLines>
        <c:marker val="1"/>
        <c:smooth val="0"/>
        <c:axId val="50572698"/>
        <c:axId val="24259352"/>
      </c:lineChart>
      <c:lineChart>
        <c:grouping val="standard"/>
        <c:varyColors val="0"/>
        <c:ser>
          <c:idx val="1"/>
          <c:order val="1"/>
          <c:spPr>
            <a:ln w="28440">
              <a:solidFill>
                <a:srgbClr val="BE4B48"/>
              </a:solidFill>
              <a:round/>
            </a:ln>
          </c:spPr>
          <c:marker>
            <c:symbol val="circle"/>
            <c:size val="4"/>
            <c:spPr>
              <a:solidFill>
                <a:srgbClr val="BE4B48"/>
              </a:solidFill>
            </c:spPr>
          </c:marker>
          <c:dLbls>
            <c:spPr>
              <a:noFill/>
              <a:ln>
                <a:noFill/>
              </a:ln>
              <a:effectLst/>
            </c:spPr>
            <c:txPr>
              <a:bodyPr/>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1</c:f>
              <c:numCache>
                <c:formatCode>General</c:formatCode>
                <c:ptCount val="9"/>
                <c:pt idx="0">
                  <c:v>100</c:v>
                </c:pt>
                <c:pt idx="1">
                  <c:v>100</c:v>
                </c:pt>
                <c:pt idx="2">
                  <c:v>100</c:v>
                </c:pt>
                <c:pt idx="3">
                  <c:v>100</c:v>
                </c:pt>
                <c:pt idx="4">
                  <c:v>100</c:v>
                </c:pt>
                <c:pt idx="5">
                  <c:v>300</c:v>
                </c:pt>
                <c:pt idx="6">
                  <c:v>300</c:v>
                </c:pt>
                <c:pt idx="7">
                  <c:v>300</c:v>
                </c:pt>
                <c:pt idx="8">
                  <c:v>100</c:v>
                </c:pt>
              </c:numCache>
            </c:numRef>
          </c:val>
          <c:smooth val="0"/>
          <c:extLst>
            <c:ext xmlns:c15="http://schemas.microsoft.com/office/drawing/2012/chart" uri="{02D57815-91ED-43cb-92C2-25804820EDAC}">
              <c15:filteredSeriesTitle>
                <c15:tx>
                  <c:strRef>
                    <c:extLst>
                      <c:ext uri="{02D57815-91ED-43cb-92C2-25804820EDAC}">
                        <c15:formulaRef>
                          <c15:sqref>label 1</c15:sqref>
                        </c15:formulaRef>
                      </c:ext>
                    </c:extLst>
                    <c:strCache>
                      <c:ptCount val="1"/>
                      <c:pt idx="0">
                        <c:v>Project size</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1</c:v>
                      </c:pt>
                      <c:pt idx="1">
                        <c:v>2</c:v>
                      </c:pt>
                      <c:pt idx="2">
                        <c:v>3</c:v>
                      </c:pt>
                      <c:pt idx="3">
                        <c:v>4</c:v>
                      </c:pt>
                      <c:pt idx="4">
                        <c:v>5</c:v>
                      </c:pt>
                      <c:pt idx="5">
                        <c:v>6</c:v>
                      </c:pt>
                      <c:pt idx="6">
                        <c:v>7</c:v>
                      </c:pt>
                      <c:pt idx="7">
                        <c:v>8</c:v>
                      </c:pt>
                      <c:pt idx="8">
                        <c:v>9</c:v>
                      </c:pt>
                    </c:strCache>
                  </c:strRef>
                </c15:cat>
              </c15:filteredCategoryTitle>
            </c:ext>
            <c:ext xmlns:c16="http://schemas.microsoft.com/office/drawing/2014/chart" uri="{C3380CC4-5D6E-409C-BE32-E72D297353CC}">
              <c16:uniqueId val="{00000001-F9B4-4010-BEB6-A147E569E3AD}"/>
            </c:ext>
          </c:extLst>
        </c:ser>
        <c:dLbls>
          <c:showLegendKey val="0"/>
          <c:showVal val="0"/>
          <c:showCatName val="0"/>
          <c:showSerName val="0"/>
          <c:showPercent val="0"/>
          <c:showBubbleSize val="0"/>
        </c:dLbls>
        <c:hiLowLines>
          <c:spPr>
            <a:ln>
              <a:noFill/>
            </a:ln>
          </c:spPr>
        </c:hiLowLines>
        <c:marker val="1"/>
        <c:smooth val="0"/>
        <c:axId val="23082996"/>
        <c:axId val="33889398"/>
      </c:lineChart>
      <c:catAx>
        <c:axId val="50572698"/>
        <c:scaling>
          <c:orientation val="minMax"/>
        </c:scaling>
        <c:delete val="0"/>
        <c:axPos val="b"/>
        <c:title>
          <c:tx>
            <c:rich>
              <a:bodyPr rot="0"/>
              <a:lstStyle/>
              <a:p>
                <a:pPr>
                  <a:defRPr sz="900" b="1" strike="noStrike" spc="-1">
                    <a:solidFill>
                      <a:srgbClr val="000000"/>
                    </a:solidFill>
                    <a:latin typeface="Arial"/>
                    <a:ea typeface="Calibri"/>
                  </a:defRPr>
                </a:pPr>
                <a:r>
                  <a:rPr sz="900" b="1" strike="noStrike" spc="-1">
                    <a:solidFill>
                      <a:srgbClr val="000000"/>
                    </a:solidFill>
                    <a:latin typeface="Arial"/>
                    <a:ea typeface="Calibri"/>
                  </a:rPr>
                  <a:t>Build Number</a:t>
                </a:r>
              </a:p>
            </c:rich>
          </c:tx>
          <c:layout>
            <c:manualLayout>
              <c:xMode val="edge"/>
              <c:yMode val="edge"/>
              <c:x val="0.85128505918737296"/>
              <c:y val="0.90070627336933895"/>
            </c:manualLayout>
          </c:layout>
          <c:overlay val="0"/>
          <c:spPr>
            <a:noFill/>
            <a:ln>
              <a:noFill/>
            </a:ln>
          </c:spPr>
        </c:title>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24259352"/>
        <c:crosses val="autoZero"/>
        <c:auto val="1"/>
        <c:lblAlgn val="ctr"/>
        <c:lblOffset val="100"/>
        <c:noMultiLvlLbl val="1"/>
      </c:catAx>
      <c:valAx>
        <c:axId val="24259352"/>
        <c:scaling>
          <c:orientation val="minMax"/>
        </c:scaling>
        <c:delete val="0"/>
        <c:axPos val="l"/>
        <c:title>
          <c:tx>
            <c:rich>
              <a:bodyPr rot="-5400000"/>
              <a:lstStyle/>
              <a:p>
                <a:pPr>
                  <a:defRPr sz="900" b="1" strike="noStrike" spc="-1">
                    <a:solidFill>
                      <a:srgbClr val="4F81BD"/>
                    </a:solidFill>
                    <a:latin typeface="Arial"/>
                    <a:ea typeface="Calibri"/>
                  </a:defRPr>
                </a:pPr>
                <a:r>
                  <a:rPr sz="900" b="1" strike="noStrike" spc="-1">
                    <a:solidFill>
                      <a:srgbClr val="4F81BD"/>
                    </a:solidFill>
                    <a:latin typeface="Arial"/>
                    <a:ea typeface="Calibri"/>
                  </a:rPr>
                  <a:t>Defects Quantity</a:t>
                </a:r>
              </a:p>
            </c:rich>
          </c:tx>
          <c:layout>
            <c:manualLayout>
              <c:xMode val="edge"/>
              <c:yMode val="edge"/>
              <c:x val="9.4246560733710197E-2"/>
              <c:y val="0.29995845450768599"/>
            </c:manualLayout>
          </c:layout>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50572698"/>
        <c:crosses val="autoZero"/>
        <c:crossBetween val="midCat"/>
      </c:valAx>
      <c:catAx>
        <c:axId val="23082996"/>
        <c:scaling>
          <c:orientation val="minMax"/>
        </c:scaling>
        <c:delete val="1"/>
        <c:axPos val="b"/>
        <c:numFmt formatCode="General" sourceLinked="1"/>
        <c:majorTickMark val="out"/>
        <c:minorTickMark val="none"/>
        <c:tickLblPos val="nextTo"/>
        <c:crossAx val="33889398"/>
        <c:crosses val="autoZero"/>
        <c:auto val="1"/>
        <c:lblAlgn val="ctr"/>
        <c:lblOffset val="100"/>
        <c:noMultiLvlLbl val="1"/>
      </c:catAx>
      <c:valAx>
        <c:axId val="33889398"/>
        <c:scaling>
          <c:orientation val="minMax"/>
        </c:scaling>
        <c:delete val="0"/>
        <c:axPos val="r"/>
        <c:title>
          <c:tx>
            <c:rich>
              <a:bodyPr rot="-5400000"/>
              <a:lstStyle/>
              <a:p>
                <a:pPr>
                  <a:defRPr sz="900" b="1" strike="noStrike" spc="-1">
                    <a:solidFill>
                      <a:srgbClr val="C00000"/>
                    </a:solidFill>
                    <a:latin typeface="Arial"/>
                    <a:ea typeface="Calibri"/>
                  </a:defRPr>
                </a:pPr>
                <a:r>
                  <a:rPr sz="900" b="1" strike="noStrike" spc="-1">
                    <a:solidFill>
                      <a:srgbClr val="C00000"/>
                    </a:solidFill>
                    <a:latin typeface="Arial"/>
                    <a:ea typeface="Calibri"/>
                  </a:rPr>
                  <a:t>Project  Size</a:t>
                </a:r>
              </a:p>
            </c:rich>
          </c:tx>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23082996"/>
        <c:crosses val="max"/>
        <c:crossBetween val="midCat"/>
      </c:valAx>
      <c:spPr>
        <a:solidFill>
          <a:srgbClr val="FFFFFF"/>
        </a:solidFill>
        <a:ln>
          <a:noFill/>
        </a:ln>
      </c:spPr>
    </c:plotArea>
    <c:plotVisOnly val="1"/>
    <c:dispBlanksAs val="gap"/>
    <c:showDLblsOverMax val="1"/>
  </c:chart>
  <c:spPr>
    <a:solidFill>
      <a:srgbClr val="FFFFFF"/>
    </a:solidFill>
    <a:ln>
      <a:noFill/>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2755900</xdr:colOff>
      <xdr:row>34</xdr:row>
      <xdr:rowOff>50800</xdr:rowOff>
    </xdr:to>
    <xdr:sp macro="" textlink="">
      <xdr:nvSpPr>
        <xdr:cNvPr id="1038" name="_x0000_t202" hidden="1">
          <a:extLst>
            <a:ext uri="{FF2B5EF4-FFF2-40B4-BE49-F238E27FC236}">
              <a16:creationId xmlns:a16="http://schemas.microsoft.com/office/drawing/2014/main" id="{0733010B-CC3B-98DE-A802-538F021C0C82}"/>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1036" name="_x0000_t202" hidden="1">
          <a:extLst>
            <a:ext uri="{FF2B5EF4-FFF2-40B4-BE49-F238E27FC236}">
              <a16:creationId xmlns:a16="http://schemas.microsoft.com/office/drawing/2014/main" id="{031E6824-FEC2-961B-B60C-251FE1F31792}"/>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1034" name="_x0000_t202" hidden="1">
          <a:extLst>
            <a:ext uri="{FF2B5EF4-FFF2-40B4-BE49-F238E27FC236}">
              <a16:creationId xmlns:a16="http://schemas.microsoft.com/office/drawing/2014/main" id="{9E0C7A4F-EC97-9877-FFF5-2E225B0E1E7A}"/>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1032" name="_x0000_t202" hidden="1">
          <a:extLst>
            <a:ext uri="{FF2B5EF4-FFF2-40B4-BE49-F238E27FC236}">
              <a16:creationId xmlns:a16="http://schemas.microsoft.com/office/drawing/2014/main" id="{72773EC8-0567-6A3C-7842-ECB08C858A75}"/>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1030" name="_x0000_t202" hidden="1">
          <a:extLst>
            <a:ext uri="{FF2B5EF4-FFF2-40B4-BE49-F238E27FC236}">
              <a16:creationId xmlns:a16="http://schemas.microsoft.com/office/drawing/2014/main" id="{5D428B50-8F8B-23C1-23EB-9F8561D2E026}"/>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1028" name="_x0000_t202" hidden="1">
          <a:extLst>
            <a:ext uri="{FF2B5EF4-FFF2-40B4-BE49-F238E27FC236}">
              <a16:creationId xmlns:a16="http://schemas.microsoft.com/office/drawing/2014/main" id="{F570990F-82BF-A309-B6C0-525636E3FB0E}"/>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1026" name="_x0000_t202" hidden="1">
          <a:extLst>
            <a:ext uri="{FF2B5EF4-FFF2-40B4-BE49-F238E27FC236}">
              <a16:creationId xmlns:a16="http://schemas.microsoft.com/office/drawing/2014/main" id="{6CCF5FD8-0788-29F3-636F-724BB69D51C6}"/>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2" name="AutoShape 14">
          <a:extLst>
            <a:ext uri="{FF2B5EF4-FFF2-40B4-BE49-F238E27FC236}">
              <a16:creationId xmlns:a16="http://schemas.microsoft.com/office/drawing/2014/main" id="{1F55CAA8-CC3E-3F15-870D-60AFFEF401CA}"/>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3" name="AutoShape 12">
          <a:extLst>
            <a:ext uri="{FF2B5EF4-FFF2-40B4-BE49-F238E27FC236}">
              <a16:creationId xmlns:a16="http://schemas.microsoft.com/office/drawing/2014/main" id="{7ADBF6BA-F72F-D8D0-BFA8-784075B24AA3}"/>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4" name="AutoShape 10">
          <a:extLst>
            <a:ext uri="{FF2B5EF4-FFF2-40B4-BE49-F238E27FC236}">
              <a16:creationId xmlns:a16="http://schemas.microsoft.com/office/drawing/2014/main" id="{41989B40-BCA2-13BA-1C91-EFC51426338C}"/>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5" name="AutoShape 8">
          <a:extLst>
            <a:ext uri="{FF2B5EF4-FFF2-40B4-BE49-F238E27FC236}">
              <a16:creationId xmlns:a16="http://schemas.microsoft.com/office/drawing/2014/main" id="{989ABC02-A3F1-B3C0-FB64-2CEB58B4E227}"/>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6" name="AutoShape 6">
          <a:extLst>
            <a:ext uri="{FF2B5EF4-FFF2-40B4-BE49-F238E27FC236}">
              <a16:creationId xmlns:a16="http://schemas.microsoft.com/office/drawing/2014/main" id="{941185F1-8B45-16E9-6BEC-B7A4B7989900}"/>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7" name="AutoShape 4">
          <a:extLst>
            <a:ext uri="{FF2B5EF4-FFF2-40B4-BE49-F238E27FC236}">
              <a16:creationId xmlns:a16="http://schemas.microsoft.com/office/drawing/2014/main" id="{836BA6D5-4F66-9729-B8C9-90647042F52F}"/>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8" name="AutoShape 2">
          <a:extLst>
            <a:ext uri="{FF2B5EF4-FFF2-40B4-BE49-F238E27FC236}">
              <a16:creationId xmlns:a16="http://schemas.microsoft.com/office/drawing/2014/main" id="{8F62D497-36F1-E1BE-F708-0A8FF2680BD8}"/>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2924175</xdr:colOff>
      <xdr:row>33</xdr:row>
      <xdr:rowOff>57150</xdr:rowOff>
    </xdr:to>
    <xdr:sp macro="" textlink="">
      <xdr:nvSpPr>
        <xdr:cNvPr id="9" name="AutoShape 14">
          <a:extLst>
            <a:ext uri="{FF2B5EF4-FFF2-40B4-BE49-F238E27FC236}">
              <a16:creationId xmlns:a16="http://schemas.microsoft.com/office/drawing/2014/main" id="{DF6B35BA-525B-B328-F42D-9889613E6018}"/>
            </a:ext>
          </a:extLst>
        </xdr:cNvPr>
        <xdr:cNvSpPr>
          <a:spLocks noChangeArrowheads="1"/>
        </xdr:cNvSpPr>
      </xdr:nvSpPr>
      <xdr:spPr bwMode="auto">
        <a:xfrm>
          <a:off x="0" y="0"/>
          <a:ext cx="6353175" cy="635317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2924175</xdr:colOff>
      <xdr:row>33</xdr:row>
      <xdr:rowOff>57150</xdr:rowOff>
    </xdr:to>
    <xdr:sp macro="" textlink="">
      <xdr:nvSpPr>
        <xdr:cNvPr id="10" name="AutoShape 12">
          <a:extLst>
            <a:ext uri="{FF2B5EF4-FFF2-40B4-BE49-F238E27FC236}">
              <a16:creationId xmlns:a16="http://schemas.microsoft.com/office/drawing/2014/main" id="{1E2D4BC1-83FC-D9CA-A134-C9969E6FA6C0}"/>
            </a:ext>
          </a:extLst>
        </xdr:cNvPr>
        <xdr:cNvSpPr>
          <a:spLocks noChangeArrowheads="1"/>
        </xdr:cNvSpPr>
      </xdr:nvSpPr>
      <xdr:spPr bwMode="auto">
        <a:xfrm>
          <a:off x="0" y="0"/>
          <a:ext cx="6353175" cy="635317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2924175</xdr:colOff>
      <xdr:row>33</xdr:row>
      <xdr:rowOff>57150</xdr:rowOff>
    </xdr:to>
    <xdr:sp macro="" textlink="">
      <xdr:nvSpPr>
        <xdr:cNvPr id="11" name="AutoShape 10">
          <a:extLst>
            <a:ext uri="{FF2B5EF4-FFF2-40B4-BE49-F238E27FC236}">
              <a16:creationId xmlns:a16="http://schemas.microsoft.com/office/drawing/2014/main" id="{D13BD558-A222-61E4-C8D3-5C0DDEFD7F73}"/>
            </a:ext>
          </a:extLst>
        </xdr:cNvPr>
        <xdr:cNvSpPr>
          <a:spLocks noChangeArrowheads="1"/>
        </xdr:cNvSpPr>
      </xdr:nvSpPr>
      <xdr:spPr bwMode="auto">
        <a:xfrm>
          <a:off x="0" y="0"/>
          <a:ext cx="6353175" cy="635317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2924175</xdr:colOff>
      <xdr:row>33</xdr:row>
      <xdr:rowOff>57150</xdr:rowOff>
    </xdr:to>
    <xdr:sp macro="" textlink="">
      <xdr:nvSpPr>
        <xdr:cNvPr id="12" name="AutoShape 8">
          <a:extLst>
            <a:ext uri="{FF2B5EF4-FFF2-40B4-BE49-F238E27FC236}">
              <a16:creationId xmlns:a16="http://schemas.microsoft.com/office/drawing/2014/main" id="{806A1FE7-C683-2633-7D7C-698EFFF28D1E}"/>
            </a:ext>
          </a:extLst>
        </xdr:cNvPr>
        <xdr:cNvSpPr>
          <a:spLocks noChangeArrowheads="1"/>
        </xdr:cNvSpPr>
      </xdr:nvSpPr>
      <xdr:spPr bwMode="auto">
        <a:xfrm>
          <a:off x="0" y="0"/>
          <a:ext cx="6353175" cy="635317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2924175</xdr:colOff>
      <xdr:row>33</xdr:row>
      <xdr:rowOff>57150</xdr:rowOff>
    </xdr:to>
    <xdr:sp macro="" textlink="">
      <xdr:nvSpPr>
        <xdr:cNvPr id="13" name="AutoShape 6">
          <a:extLst>
            <a:ext uri="{FF2B5EF4-FFF2-40B4-BE49-F238E27FC236}">
              <a16:creationId xmlns:a16="http://schemas.microsoft.com/office/drawing/2014/main" id="{D1D97B7C-3036-E093-F798-EDEACC948F76}"/>
            </a:ext>
          </a:extLst>
        </xdr:cNvPr>
        <xdr:cNvSpPr>
          <a:spLocks noChangeArrowheads="1"/>
        </xdr:cNvSpPr>
      </xdr:nvSpPr>
      <xdr:spPr bwMode="auto">
        <a:xfrm>
          <a:off x="0" y="0"/>
          <a:ext cx="6353175" cy="635317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2924175</xdr:colOff>
      <xdr:row>33</xdr:row>
      <xdr:rowOff>57150</xdr:rowOff>
    </xdr:to>
    <xdr:sp macro="" textlink="">
      <xdr:nvSpPr>
        <xdr:cNvPr id="14" name="AutoShape 4">
          <a:extLst>
            <a:ext uri="{FF2B5EF4-FFF2-40B4-BE49-F238E27FC236}">
              <a16:creationId xmlns:a16="http://schemas.microsoft.com/office/drawing/2014/main" id="{F781DE10-0A1A-1801-5D80-D0C89077B4D2}"/>
            </a:ext>
          </a:extLst>
        </xdr:cNvPr>
        <xdr:cNvSpPr>
          <a:spLocks noChangeArrowheads="1"/>
        </xdr:cNvSpPr>
      </xdr:nvSpPr>
      <xdr:spPr bwMode="auto">
        <a:xfrm>
          <a:off x="0" y="0"/>
          <a:ext cx="6353175" cy="635317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2924175</xdr:colOff>
      <xdr:row>33</xdr:row>
      <xdr:rowOff>57150</xdr:rowOff>
    </xdr:to>
    <xdr:sp macro="" textlink="">
      <xdr:nvSpPr>
        <xdr:cNvPr id="15" name="AutoShape 2">
          <a:extLst>
            <a:ext uri="{FF2B5EF4-FFF2-40B4-BE49-F238E27FC236}">
              <a16:creationId xmlns:a16="http://schemas.microsoft.com/office/drawing/2014/main" id="{08D1D6E2-80AE-8C37-189B-0348B43FA56C}"/>
            </a:ext>
          </a:extLst>
        </xdr:cNvPr>
        <xdr:cNvSpPr>
          <a:spLocks noChangeArrowheads="1"/>
        </xdr:cNvSpPr>
      </xdr:nvSpPr>
      <xdr:spPr bwMode="auto">
        <a:xfrm>
          <a:off x="0" y="0"/>
          <a:ext cx="6353175" cy="6353175"/>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54</xdr:row>
      <xdr:rowOff>149400</xdr:rowOff>
    </xdr:from>
    <xdr:to>
      <xdr:col>10</xdr:col>
      <xdr:colOff>1018440</xdr:colOff>
      <xdr:row>69</xdr:row>
      <xdr:rowOff>53640</xdr:rowOff>
    </xdr:to>
    <xdr:graphicFrame macro="">
      <xdr:nvGraphicFramePr>
        <xdr:cNvPr id="2" name="Chart 4">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304920</xdr:colOff>
      <xdr:row>69</xdr:row>
      <xdr:rowOff>101880</xdr:rowOff>
    </xdr:from>
    <xdr:to>
      <xdr:col>10</xdr:col>
      <xdr:colOff>199440</xdr:colOff>
      <xdr:row>87</xdr:row>
      <xdr:rowOff>110520</xdr:rowOff>
    </xdr:to>
    <xdr:graphicFrame macro="">
      <xdr:nvGraphicFramePr>
        <xdr:cNvPr id="3" name="Chart 5">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90</xdr:row>
      <xdr:rowOff>44640</xdr:rowOff>
    </xdr:from>
    <xdr:to>
      <xdr:col>10</xdr:col>
      <xdr:colOff>1075680</xdr:colOff>
      <xdr:row>107</xdr:row>
      <xdr:rowOff>52920</xdr:rowOff>
    </xdr:to>
    <xdr:graphicFrame macro="">
      <xdr:nvGraphicFramePr>
        <xdr:cNvPr id="4" name="Chart 4">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infosystem.demohoster.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projectx_test.com/" TargetMode="External"/><Relationship Id="rId2" Type="http://schemas.openxmlformats.org/officeDocument/2006/relationships/hyperlink" Target="http://projectx_uat.com/" TargetMode="External"/><Relationship Id="rId1" Type="http://schemas.openxmlformats.org/officeDocument/2006/relationships/hyperlink" Target="http://projectx_live.com/" TargetMode="External"/><Relationship Id="rId4" Type="http://schemas.openxmlformats.org/officeDocument/2006/relationships/hyperlink" Target="http://projectx_dev.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133"/>
  <sheetViews>
    <sheetView topLeftCell="A41" zoomScale="130" zoomScaleNormal="130" workbookViewId="0">
      <selection activeCell="C1" sqref="C1"/>
    </sheetView>
  </sheetViews>
  <sheetFormatPr defaultRowHeight="12.75" x14ac:dyDescent="0.2"/>
  <cols>
    <col min="1" max="2" width="25.7109375" style="1" customWidth="1"/>
    <col min="3" max="3" width="150.7109375" style="1" customWidth="1"/>
    <col min="4" max="1025" width="9.140625" style="1" customWidth="1"/>
  </cols>
  <sheetData>
    <row r="1" spans="1:17" s="4" customFormat="1" ht="48.95" customHeight="1" x14ac:dyDescent="0.2">
      <c r="A1" s="2" t="s">
        <v>0</v>
      </c>
      <c r="B1" s="3"/>
      <c r="C1" s="3"/>
      <c r="D1" s="3"/>
      <c r="E1" s="3"/>
      <c r="F1" s="3"/>
      <c r="J1" s="5"/>
    </row>
    <row r="2" spans="1:17" ht="12" customHeight="1" x14ac:dyDescent="0.2">
      <c r="A2" s="6"/>
      <c r="B2" s="6"/>
      <c r="C2" s="6"/>
    </row>
    <row r="3" spans="1:17" ht="12" customHeight="1" x14ac:dyDescent="0.2">
      <c r="A3" s="115" t="s">
        <v>1</v>
      </c>
      <c r="B3" s="115"/>
      <c r="C3" s="115"/>
    </row>
    <row r="4" spans="1:17" ht="12" customHeight="1" x14ac:dyDescent="0.2">
      <c r="A4" s="116" t="s">
        <v>2</v>
      </c>
      <c r="B4" s="116"/>
      <c r="C4" s="116"/>
    </row>
    <row r="5" spans="1:17" ht="12" customHeight="1" x14ac:dyDescent="0.2">
      <c r="A5" s="117" t="s">
        <v>3</v>
      </c>
      <c r="B5" s="117"/>
      <c r="C5" s="117"/>
    </row>
    <row r="6" spans="1:17" ht="12" customHeight="1" x14ac:dyDescent="0.2">
      <c r="B6" s="9"/>
      <c r="C6" s="9"/>
    </row>
    <row r="7" spans="1:17" ht="12" customHeight="1" x14ac:dyDescent="0.2">
      <c r="A7" s="118" t="s">
        <v>4</v>
      </c>
      <c r="B7" s="118"/>
      <c r="C7" s="118"/>
    </row>
    <row r="8" spans="1:17" ht="12" customHeight="1" x14ac:dyDescent="0.2">
      <c r="C8" s="9"/>
    </row>
    <row r="9" spans="1:17" ht="12" customHeight="1" x14ac:dyDescent="0.2">
      <c r="A9" s="118" t="s">
        <v>5</v>
      </c>
      <c r="B9" s="118"/>
      <c r="C9" s="118"/>
      <c r="D9" s="11"/>
      <c r="E9" s="11"/>
      <c r="F9" s="11"/>
      <c r="G9" s="11"/>
      <c r="H9" s="11"/>
      <c r="I9" s="11"/>
      <c r="J9" s="11"/>
      <c r="K9" s="11"/>
      <c r="L9" s="11"/>
      <c r="M9" s="11"/>
      <c r="N9" s="11"/>
      <c r="O9" s="11"/>
      <c r="P9" s="11"/>
      <c r="Q9" s="11"/>
    </row>
    <row r="10" spans="1:17" ht="12" customHeight="1" x14ac:dyDescent="0.2">
      <c r="A10" s="12" t="s">
        <v>6</v>
      </c>
      <c r="B10" s="119" t="s">
        <v>7</v>
      </c>
      <c r="C10" s="119"/>
      <c r="D10" s="9"/>
      <c r="E10" s="9"/>
      <c r="F10" s="9"/>
      <c r="G10" s="9"/>
      <c r="H10" s="9"/>
      <c r="I10" s="9"/>
      <c r="J10" s="9"/>
      <c r="K10" s="9"/>
      <c r="L10" s="9"/>
      <c r="M10" s="9"/>
      <c r="N10" s="9"/>
      <c r="O10" s="9"/>
      <c r="P10" s="9"/>
      <c r="Q10" s="9"/>
    </row>
    <row r="11" spans="1:17" ht="11.25" customHeight="1" x14ac:dyDescent="0.2">
      <c r="A11" s="120" t="s">
        <v>8</v>
      </c>
      <c r="B11" s="13" t="s">
        <v>9</v>
      </c>
      <c r="C11" s="14" t="s">
        <v>10</v>
      </c>
      <c r="D11" s="9"/>
      <c r="E11" s="9"/>
      <c r="F11" s="9"/>
      <c r="G11" s="9"/>
      <c r="H11" s="9"/>
      <c r="I11" s="9"/>
      <c r="J11" s="9"/>
      <c r="K11" s="9"/>
      <c r="L11" s="9"/>
      <c r="M11" s="9"/>
      <c r="N11" s="9"/>
      <c r="O11" s="9"/>
      <c r="P11" s="9"/>
      <c r="Q11" s="9"/>
    </row>
    <row r="12" spans="1:17" ht="22.5" x14ac:dyDescent="0.2">
      <c r="A12" s="120"/>
      <c r="B12" s="15" t="s">
        <v>11</v>
      </c>
      <c r="C12" s="16" t="s">
        <v>12</v>
      </c>
      <c r="D12" s="9"/>
      <c r="E12" s="9"/>
      <c r="F12" s="9"/>
      <c r="G12" s="9"/>
      <c r="H12" s="9"/>
      <c r="I12" s="9"/>
      <c r="J12" s="9"/>
      <c r="K12" s="9"/>
      <c r="L12" s="9"/>
      <c r="M12" s="9"/>
      <c r="N12" s="9"/>
      <c r="O12" s="9"/>
      <c r="P12" s="9"/>
      <c r="Q12" s="9"/>
    </row>
    <row r="13" spans="1:17" ht="33.75" x14ac:dyDescent="0.2">
      <c r="A13" s="120"/>
      <c r="B13" s="15" t="s">
        <v>13</v>
      </c>
      <c r="C13" s="16" t="s">
        <v>14</v>
      </c>
      <c r="D13" s="9"/>
      <c r="E13" s="9"/>
      <c r="F13" s="9"/>
      <c r="G13" s="9"/>
      <c r="H13" s="9"/>
      <c r="I13" s="9"/>
      <c r="J13" s="9"/>
      <c r="K13" s="9"/>
      <c r="L13" s="9"/>
      <c r="M13" s="9"/>
      <c r="N13" s="9"/>
      <c r="O13" s="9"/>
      <c r="P13" s="9"/>
      <c r="Q13" s="9"/>
    </row>
    <row r="14" spans="1:17" ht="22.5" x14ac:dyDescent="0.2">
      <c r="A14" s="120"/>
      <c r="B14" s="15" t="s">
        <v>15</v>
      </c>
      <c r="C14" s="16" t="s">
        <v>16</v>
      </c>
      <c r="D14" s="9"/>
      <c r="E14" s="9"/>
      <c r="F14" s="9"/>
      <c r="G14" s="9"/>
      <c r="H14" s="9"/>
      <c r="I14" s="9"/>
      <c r="J14" s="9"/>
      <c r="K14" s="9"/>
      <c r="L14" s="9"/>
      <c r="M14" s="9"/>
      <c r="N14" s="9"/>
      <c r="O14" s="9"/>
      <c r="P14" s="9"/>
      <c r="Q14" s="9"/>
    </row>
    <row r="15" spans="1:17" ht="22.5" x14ac:dyDescent="0.2">
      <c r="A15" s="120"/>
      <c r="B15" s="15" t="s">
        <v>17</v>
      </c>
      <c r="C15" s="16" t="s">
        <v>18</v>
      </c>
      <c r="D15" s="9"/>
      <c r="E15" s="9"/>
      <c r="F15" s="9"/>
      <c r="G15" s="9"/>
      <c r="H15" s="9"/>
      <c r="I15" s="9"/>
      <c r="J15" s="9"/>
      <c r="K15" s="9"/>
      <c r="L15" s="9"/>
      <c r="M15" s="9"/>
      <c r="N15" s="9"/>
      <c r="O15" s="9"/>
      <c r="P15" s="9"/>
      <c r="Q15" s="9"/>
    </row>
    <row r="16" spans="1:17" ht="22.5" x14ac:dyDescent="0.2">
      <c r="A16" s="120"/>
      <c r="B16" s="15" t="s">
        <v>19</v>
      </c>
      <c r="C16" s="17" t="s">
        <v>20</v>
      </c>
      <c r="D16" s="9"/>
      <c r="E16" s="9"/>
      <c r="F16" s="9"/>
      <c r="G16" s="9"/>
      <c r="H16" s="9"/>
      <c r="I16" s="9"/>
      <c r="J16" s="9"/>
      <c r="K16" s="9"/>
      <c r="L16" s="9"/>
      <c r="M16" s="9"/>
      <c r="N16" s="9"/>
      <c r="O16" s="9"/>
      <c r="P16" s="9"/>
      <c r="Q16" s="9"/>
    </row>
    <row r="17" spans="1:17" ht="12" customHeight="1" x14ac:dyDescent="0.2">
      <c r="A17" s="120"/>
      <c r="B17" s="15" t="s">
        <v>21</v>
      </c>
      <c r="C17" s="17" t="s">
        <v>22</v>
      </c>
      <c r="D17" s="9"/>
      <c r="E17" s="9"/>
      <c r="F17" s="9"/>
      <c r="G17" s="9"/>
      <c r="H17" s="9"/>
      <c r="I17" s="9"/>
      <c r="J17" s="9"/>
      <c r="K17" s="9"/>
      <c r="L17" s="9"/>
      <c r="M17" s="9"/>
      <c r="N17" s="9"/>
      <c r="O17" s="9"/>
      <c r="P17" s="9"/>
      <c r="Q17" s="9"/>
    </row>
    <row r="18" spans="1:17" ht="12" customHeight="1" x14ac:dyDescent="0.2">
      <c r="A18" s="120"/>
      <c r="B18" s="7"/>
      <c r="C18" s="18" t="s">
        <v>23</v>
      </c>
      <c r="D18" s="9"/>
      <c r="E18" s="9"/>
      <c r="F18" s="9"/>
      <c r="G18" s="9"/>
      <c r="H18" s="9"/>
      <c r="I18" s="9"/>
      <c r="J18" s="9"/>
      <c r="K18" s="9"/>
      <c r="L18" s="9"/>
      <c r="M18" s="9"/>
      <c r="N18" s="9"/>
      <c r="O18" s="9"/>
      <c r="P18" s="9"/>
      <c r="Q18" s="9"/>
    </row>
    <row r="19" spans="1:17" ht="12" customHeight="1" x14ac:dyDescent="0.2">
      <c r="A19" s="120"/>
      <c r="B19" s="8"/>
      <c r="C19" s="19" t="s">
        <v>23</v>
      </c>
      <c r="D19" s="9"/>
      <c r="E19" s="9"/>
      <c r="F19" s="9"/>
      <c r="G19" s="9"/>
      <c r="H19" s="9"/>
      <c r="I19" s="9"/>
      <c r="J19" s="9"/>
      <c r="K19" s="9"/>
      <c r="L19" s="9"/>
      <c r="M19" s="9"/>
      <c r="N19" s="9"/>
      <c r="O19" s="9"/>
      <c r="P19" s="9"/>
      <c r="Q19" s="9"/>
    </row>
    <row r="20" spans="1:17" ht="12" customHeight="1" x14ac:dyDescent="0.2">
      <c r="A20" s="12" t="s">
        <v>24</v>
      </c>
      <c r="B20" s="119" t="s">
        <v>25</v>
      </c>
      <c r="C20" s="119"/>
      <c r="D20" s="9"/>
      <c r="E20" s="9"/>
      <c r="F20" s="9"/>
      <c r="G20" s="9"/>
      <c r="H20" s="9"/>
      <c r="I20" s="9"/>
      <c r="J20" s="9"/>
      <c r="K20" s="9"/>
      <c r="L20" s="9"/>
      <c r="M20" s="9"/>
      <c r="N20" s="9"/>
      <c r="O20" s="9"/>
      <c r="P20" s="9"/>
      <c r="Q20" s="9"/>
    </row>
    <row r="21" spans="1:17" ht="12" customHeight="1" x14ac:dyDescent="0.2">
      <c r="A21" s="12" t="s">
        <v>26</v>
      </c>
      <c r="B21" s="119" t="s">
        <v>27</v>
      </c>
      <c r="C21" s="119"/>
      <c r="D21" s="9"/>
      <c r="E21" s="9"/>
      <c r="F21" s="9"/>
      <c r="G21" s="9"/>
      <c r="H21" s="9"/>
      <c r="I21" s="9"/>
      <c r="J21" s="9"/>
      <c r="K21" s="9"/>
      <c r="L21" s="9"/>
      <c r="M21" s="9"/>
      <c r="N21" s="9"/>
      <c r="O21" s="9"/>
      <c r="P21" s="9"/>
      <c r="Q21" s="9"/>
    </row>
    <row r="22" spans="1:17" ht="12" customHeight="1" x14ac:dyDescent="0.2">
      <c r="A22" s="12" t="s">
        <v>28</v>
      </c>
      <c r="B22" s="119" t="s">
        <v>29</v>
      </c>
      <c r="C22" s="119"/>
      <c r="D22" s="9"/>
      <c r="E22" s="9"/>
      <c r="F22" s="9"/>
      <c r="G22" s="9"/>
      <c r="H22" s="9"/>
      <c r="I22" s="9"/>
      <c r="J22" s="9"/>
      <c r="K22" s="9"/>
      <c r="L22" s="9"/>
      <c r="M22" s="9"/>
      <c r="N22" s="9"/>
      <c r="O22" s="9"/>
      <c r="P22" s="9"/>
      <c r="Q22" s="9"/>
    </row>
    <row r="23" spans="1:17" ht="12" customHeight="1" x14ac:dyDescent="0.2">
      <c r="A23" s="12" t="s">
        <v>30</v>
      </c>
      <c r="B23" s="119" t="s">
        <v>31</v>
      </c>
      <c r="C23" s="119"/>
      <c r="D23" s="9"/>
      <c r="E23" s="9"/>
      <c r="F23" s="9"/>
      <c r="G23" s="9"/>
      <c r="H23" s="9"/>
      <c r="I23" s="9"/>
      <c r="J23" s="9"/>
      <c r="K23" s="9"/>
      <c r="L23" s="9"/>
      <c r="M23" s="9"/>
      <c r="N23" s="9"/>
      <c r="O23" s="9"/>
      <c r="P23" s="9"/>
      <c r="Q23" s="9"/>
    </row>
    <row r="24" spans="1:17" ht="12" customHeight="1" x14ac:dyDescent="0.2">
      <c r="A24" s="12" t="s">
        <v>32</v>
      </c>
      <c r="B24" s="119" t="s">
        <v>33</v>
      </c>
      <c r="C24" s="119"/>
      <c r="D24" s="9"/>
      <c r="E24" s="9"/>
      <c r="F24" s="9"/>
      <c r="G24" s="9"/>
      <c r="H24" s="9"/>
      <c r="I24" s="9"/>
      <c r="J24" s="9"/>
      <c r="K24" s="9"/>
      <c r="L24" s="9"/>
      <c r="M24" s="9"/>
      <c r="N24" s="9"/>
      <c r="O24" s="9"/>
      <c r="P24" s="9"/>
      <c r="Q24" s="9"/>
    </row>
    <row r="25" spans="1:17" ht="12" customHeight="1" x14ac:dyDescent="0.2">
      <c r="A25" s="12" t="s">
        <v>34</v>
      </c>
      <c r="B25" s="119" t="s">
        <v>35</v>
      </c>
      <c r="C25" s="119"/>
      <c r="D25" s="9"/>
      <c r="E25" s="9"/>
      <c r="F25" s="9"/>
      <c r="G25" s="9"/>
      <c r="H25" s="9"/>
      <c r="I25" s="9"/>
      <c r="J25" s="9"/>
      <c r="K25" s="9"/>
      <c r="L25" s="9"/>
      <c r="M25" s="9"/>
      <c r="N25" s="9"/>
      <c r="O25" s="9"/>
      <c r="P25" s="9"/>
      <c r="Q25" s="9"/>
    </row>
    <row r="26" spans="1:17" ht="12" customHeight="1" x14ac:dyDescent="0.2">
      <c r="A26" s="12" t="s">
        <v>36</v>
      </c>
      <c r="B26" s="119" t="s">
        <v>37</v>
      </c>
      <c r="C26" s="119"/>
      <c r="D26" s="9"/>
      <c r="E26" s="9"/>
      <c r="F26" s="9"/>
      <c r="G26" s="9"/>
      <c r="H26" s="9"/>
      <c r="I26" s="9"/>
      <c r="J26" s="9"/>
      <c r="K26" s="9"/>
      <c r="L26" s="9"/>
      <c r="M26" s="9"/>
      <c r="N26" s="9"/>
      <c r="O26" s="9"/>
      <c r="P26" s="9"/>
      <c r="Q26" s="9"/>
    </row>
    <row r="27" spans="1:17" ht="12" customHeight="1" x14ac:dyDescent="0.2">
      <c r="A27" s="12" t="s">
        <v>38</v>
      </c>
      <c r="B27" s="119" t="s">
        <v>39</v>
      </c>
      <c r="C27" s="119"/>
      <c r="D27" s="9"/>
      <c r="E27" s="9"/>
      <c r="F27" s="9"/>
      <c r="G27" s="9"/>
      <c r="H27" s="9"/>
      <c r="I27" s="9"/>
      <c r="J27" s="9"/>
      <c r="K27" s="9"/>
      <c r="L27" s="9"/>
      <c r="M27" s="9"/>
      <c r="N27" s="9"/>
      <c r="O27" s="9"/>
      <c r="P27" s="9"/>
      <c r="Q27" s="9"/>
    </row>
    <row r="28" spans="1:17" ht="12" customHeight="1" x14ac:dyDescent="0.2">
      <c r="A28" s="12" t="s">
        <v>40</v>
      </c>
      <c r="B28" s="119" t="s">
        <v>41</v>
      </c>
      <c r="C28" s="119"/>
      <c r="D28" s="9"/>
      <c r="E28" s="9"/>
      <c r="F28" s="9"/>
      <c r="G28" s="9"/>
      <c r="H28" s="9"/>
      <c r="I28" s="9"/>
      <c r="J28" s="9"/>
      <c r="K28" s="9"/>
      <c r="L28" s="9"/>
      <c r="M28" s="9"/>
      <c r="N28" s="9"/>
      <c r="O28" s="9"/>
      <c r="P28" s="9"/>
      <c r="Q28" s="9"/>
    </row>
    <row r="29" spans="1:17" ht="12" customHeight="1" x14ac:dyDescent="0.2">
      <c r="A29" s="12" t="s">
        <v>42</v>
      </c>
      <c r="B29" s="119" t="s">
        <v>43</v>
      </c>
      <c r="C29" s="119"/>
    </row>
    <row r="30" spans="1:17" ht="12" customHeight="1" x14ac:dyDescent="0.2">
      <c r="B30" s="20"/>
      <c r="C30" s="20"/>
    </row>
    <row r="31" spans="1:17" ht="12" customHeight="1" x14ac:dyDescent="0.2"/>
    <row r="32" spans="1:17" ht="12" customHeight="1" x14ac:dyDescent="0.2">
      <c r="A32" s="118" t="s">
        <v>44</v>
      </c>
      <c r="B32" s="118"/>
      <c r="C32" s="118"/>
    </row>
    <row r="33" spans="1:3" ht="12" customHeight="1" x14ac:dyDescent="0.2">
      <c r="A33" s="12" t="s">
        <v>40</v>
      </c>
      <c r="B33" s="119" t="s">
        <v>45</v>
      </c>
      <c r="C33" s="119"/>
    </row>
    <row r="34" spans="1:3" ht="12" customHeight="1" x14ac:dyDescent="0.2">
      <c r="A34" s="12" t="s">
        <v>46</v>
      </c>
      <c r="B34" s="119" t="s">
        <v>47</v>
      </c>
      <c r="C34" s="119"/>
    </row>
    <row r="35" spans="1:3" ht="12" customHeight="1" x14ac:dyDescent="0.2">
      <c r="A35" s="12" t="s">
        <v>42</v>
      </c>
      <c r="B35" s="119" t="s">
        <v>43</v>
      </c>
      <c r="C35" s="119"/>
    </row>
    <row r="36" spans="1:3" ht="12" customHeight="1" x14ac:dyDescent="0.2"/>
    <row r="37" spans="1:3" ht="12" customHeight="1" x14ac:dyDescent="0.2"/>
    <row r="38" spans="1:3" ht="12" customHeight="1" x14ac:dyDescent="0.2">
      <c r="A38" s="118" t="s">
        <v>48</v>
      </c>
      <c r="B38" s="118"/>
      <c r="C38" s="118"/>
    </row>
    <row r="39" spans="1:3" ht="12" customHeight="1" x14ac:dyDescent="0.2">
      <c r="A39" s="12" t="s">
        <v>49</v>
      </c>
      <c r="B39" s="119" t="s">
        <v>50</v>
      </c>
      <c r="C39" s="119"/>
    </row>
    <row r="40" spans="1:3" ht="12" customHeight="1" x14ac:dyDescent="0.2">
      <c r="A40" s="12" t="s">
        <v>51</v>
      </c>
      <c r="B40" s="119" t="s">
        <v>52</v>
      </c>
      <c r="C40" s="119"/>
    </row>
    <row r="41" spans="1:3" ht="12" customHeight="1" x14ac:dyDescent="0.2">
      <c r="A41" s="12" t="s">
        <v>53</v>
      </c>
      <c r="B41" s="119" t="s">
        <v>54</v>
      </c>
      <c r="C41" s="119"/>
    </row>
    <row r="42" spans="1:3" ht="12" customHeight="1" x14ac:dyDescent="0.2">
      <c r="A42" s="12" t="s">
        <v>55</v>
      </c>
      <c r="B42" s="119" t="s">
        <v>56</v>
      </c>
      <c r="C42" s="119"/>
    </row>
    <row r="43" spans="1:3" ht="12" customHeight="1" x14ac:dyDescent="0.2">
      <c r="A43" s="12" t="s">
        <v>57</v>
      </c>
      <c r="B43" s="119" t="s">
        <v>58</v>
      </c>
      <c r="C43" s="119"/>
    </row>
    <row r="44" spans="1:3" ht="12" customHeight="1" x14ac:dyDescent="0.2">
      <c r="A44" s="12" t="s">
        <v>59</v>
      </c>
      <c r="B44" s="119" t="s">
        <v>60</v>
      </c>
      <c r="C44" s="119"/>
    </row>
    <row r="45" spans="1:3" ht="12" customHeight="1" x14ac:dyDescent="0.2">
      <c r="A45" s="12" t="s">
        <v>42</v>
      </c>
      <c r="B45" s="119" t="s">
        <v>43</v>
      </c>
      <c r="C45" s="119"/>
    </row>
    <row r="46" spans="1:3" ht="12" customHeight="1" x14ac:dyDescent="0.2"/>
    <row r="47" spans="1:3" ht="12" customHeight="1" x14ac:dyDescent="0.2"/>
    <row r="48" spans="1:3" ht="12" customHeight="1" x14ac:dyDescent="0.2">
      <c r="A48" s="118" t="s">
        <v>61</v>
      </c>
      <c r="B48" s="118"/>
      <c r="C48" s="118"/>
    </row>
    <row r="49" spans="1:23" ht="12" customHeight="1" x14ac:dyDescent="0.2">
      <c r="A49" s="12" t="s">
        <v>62</v>
      </c>
      <c r="B49" s="119" t="s">
        <v>63</v>
      </c>
      <c r="C49" s="119"/>
    </row>
    <row r="50" spans="1:23" ht="12" customHeight="1" x14ac:dyDescent="0.2">
      <c r="A50" s="12" t="s">
        <v>64</v>
      </c>
      <c r="B50" s="119" t="s">
        <v>65</v>
      </c>
      <c r="C50" s="119"/>
    </row>
    <row r="51" spans="1:23" ht="12" customHeight="1" x14ac:dyDescent="0.2">
      <c r="A51" s="12" t="s">
        <v>66</v>
      </c>
      <c r="B51" s="119" t="s">
        <v>67</v>
      </c>
      <c r="C51" s="119"/>
    </row>
    <row r="52" spans="1:23" ht="12" customHeight="1" x14ac:dyDescent="0.2">
      <c r="A52" s="12" t="s">
        <v>68</v>
      </c>
      <c r="B52" s="119" t="s">
        <v>69</v>
      </c>
      <c r="C52" s="119"/>
    </row>
    <row r="53" spans="1:23" ht="12" customHeight="1" x14ac:dyDescent="0.2">
      <c r="A53" s="12" t="s">
        <v>70</v>
      </c>
      <c r="B53" s="119" t="s">
        <v>71</v>
      </c>
      <c r="C53" s="119"/>
    </row>
    <row r="54" spans="1:23" ht="12" customHeight="1" x14ac:dyDescent="0.2">
      <c r="A54" s="12" t="s">
        <v>72</v>
      </c>
      <c r="B54" s="119" t="s">
        <v>73</v>
      </c>
      <c r="C54" s="119"/>
    </row>
    <row r="55" spans="1:23" ht="12" customHeight="1" x14ac:dyDescent="0.2">
      <c r="A55" s="12" t="s">
        <v>74</v>
      </c>
      <c r="B55" s="119" t="s">
        <v>75</v>
      </c>
      <c r="C55" s="119"/>
    </row>
    <row r="56" spans="1:23" ht="12" customHeight="1" x14ac:dyDescent="0.2">
      <c r="A56" s="12" t="s">
        <v>76</v>
      </c>
      <c r="B56" s="119" t="s">
        <v>77</v>
      </c>
      <c r="C56" s="119"/>
    </row>
    <row r="57" spans="1:23" ht="12" customHeight="1" x14ac:dyDescent="0.2">
      <c r="A57" s="12" t="s">
        <v>42</v>
      </c>
      <c r="B57" s="119" t="s">
        <v>43</v>
      </c>
      <c r="C57" s="119"/>
    </row>
    <row r="58" spans="1:23" ht="12" customHeight="1" x14ac:dyDescent="0.2"/>
    <row r="59" spans="1:23" s="21" customFormat="1" ht="12" customHeight="1" x14ac:dyDescent="0.2">
      <c r="Q59" s="1"/>
      <c r="R59" s="1"/>
      <c r="W59" s="1"/>
    </row>
    <row r="60" spans="1:23" s="21" customFormat="1" ht="12" customHeight="1" x14ac:dyDescent="0.2">
      <c r="A60" s="118" t="s">
        <v>78</v>
      </c>
      <c r="B60" s="118"/>
      <c r="C60" s="118"/>
      <c r="Q60" s="1"/>
      <c r="R60" s="1"/>
      <c r="W60" s="1"/>
    </row>
    <row r="61" spans="1:23" ht="12" customHeight="1" x14ac:dyDescent="0.2">
      <c r="A61" s="12" t="s">
        <v>79</v>
      </c>
      <c r="B61" s="119" t="s">
        <v>80</v>
      </c>
      <c r="C61" s="119"/>
    </row>
    <row r="62" spans="1:23" ht="12" customHeight="1" x14ac:dyDescent="0.2">
      <c r="A62" s="12" t="s">
        <v>81</v>
      </c>
      <c r="B62" s="119" t="s">
        <v>82</v>
      </c>
      <c r="C62" s="119"/>
    </row>
    <row r="63" spans="1:23" ht="12" customHeight="1" x14ac:dyDescent="0.2">
      <c r="A63" s="12" t="s">
        <v>74</v>
      </c>
      <c r="B63" s="119" t="s">
        <v>83</v>
      </c>
      <c r="C63" s="119"/>
    </row>
    <row r="64" spans="1:23" ht="12" customHeight="1" x14ac:dyDescent="0.2">
      <c r="A64" s="12" t="s">
        <v>76</v>
      </c>
      <c r="B64" s="119" t="s">
        <v>84</v>
      </c>
      <c r="C64" s="119"/>
    </row>
    <row r="65" spans="1:23" ht="12" customHeight="1" x14ac:dyDescent="0.2">
      <c r="A65" s="12" t="s">
        <v>42</v>
      </c>
      <c r="B65" s="119" t="s">
        <v>43</v>
      </c>
      <c r="C65" s="119"/>
    </row>
    <row r="66" spans="1:23" ht="12" customHeight="1" x14ac:dyDescent="0.2">
      <c r="A66" s="21"/>
      <c r="B66" s="20"/>
      <c r="C66" s="20"/>
    </row>
    <row r="67" spans="1:23" ht="12" customHeight="1" x14ac:dyDescent="0.2">
      <c r="A67" s="21"/>
      <c r="B67" s="20"/>
      <c r="C67" s="20"/>
    </row>
    <row r="68" spans="1:23" ht="12" customHeight="1" x14ac:dyDescent="0.2">
      <c r="A68" s="118" t="s">
        <v>85</v>
      </c>
      <c r="B68" s="118"/>
      <c r="C68" s="118"/>
    </row>
    <row r="69" spans="1:23" ht="12" customHeight="1" x14ac:dyDescent="0.2">
      <c r="A69" s="12" t="s">
        <v>86</v>
      </c>
      <c r="B69" s="119" t="s">
        <v>87</v>
      </c>
      <c r="C69" s="119"/>
    </row>
    <row r="70" spans="1:23" ht="12" customHeight="1" x14ac:dyDescent="0.2">
      <c r="A70" s="12" t="s">
        <v>88</v>
      </c>
      <c r="B70" s="119" t="s">
        <v>89</v>
      </c>
      <c r="C70" s="119"/>
    </row>
    <row r="71" spans="1:23" ht="12" customHeight="1" x14ac:dyDescent="0.2">
      <c r="A71" s="12" t="s">
        <v>90</v>
      </c>
      <c r="B71" s="119" t="s">
        <v>91</v>
      </c>
      <c r="C71" s="119"/>
    </row>
    <row r="72" spans="1:23" ht="12" customHeight="1" x14ac:dyDescent="0.2">
      <c r="A72" s="12" t="s">
        <v>92</v>
      </c>
      <c r="B72" s="119" t="s">
        <v>93</v>
      </c>
      <c r="C72" s="119"/>
    </row>
    <row r="73" spans="1:23" ht="12" customHeight="1" x14ac:dyDescent="0.2">
      <c r="A73" s="12" t="s">
        <v>94</v>
      </c>
      <c r="B73" s="119" t="s">
        <v>95</v>
      </c>
      <c r="C73" s="119"/>
    </row>
    <row r="74" spans="1:23" s="21" customFormat="1" ht="12" customHeight="1" x14ac:dyDescent="0.2">
      <c r="A74" s="12" t="s">
        <v>59</v>
      </c>
      <c r="B74" s="119" t="s">
        <v>60</v>
      </c>
      <c r="C74" s="119"/>
      <c r="Q74" s="1"/>
      <c r="W74" s="1"/>
    </row>
    <row r="75" spans="1:23" s="21" customFormat="1" ht="12" customHeight="1" x14ac:dyDescent="0.2">
      <c r="A75" s="12" t="s">
        <v>42</v>
      </c>
      <c r="B75" s="119" t="s">
        <v>43</v>
      </c>
      <c r="C75" s="119"/>
      <c r="Q75" s="1"/>
      <c r="W75" s="1"/>
    </row>
    <row r="76" spans="1:23" s="21" customFormat="1" ht="11.25" x14ac:dyDescent="0.2">
      <c r="Q76" s="1"/>
      <c r="W76" s="1"/>
    </row>
    <row r="77" spans="1:23" s="21" customFormat="1" ht="11.25" x14ac:dyDescent="0.2">
      <c r="Q77" s="1"/>
      <c r="W77" s="1"/>
    </row>
    <row r="78" spans="1:23" s="21" customFormat="1" ht="12" customHeight="1" x14ac:dyDescent="0.2">
      <c r="A78" s="118" t="s">
        <v>96</v>
      </c>
      <c r="B78" s="118"/>
      <c r="C78" s="118"/>
      <c r="Q78" s="1"/>
      <c r="W78" s="1"/>
    </row>
    <row r="79" spans="1:23" s="21" customFormat="1" ht="12" customHeight="1" x14ac:dyDescent="0.2">
      <c r="A79" s="22" t="s">
        <v>97</v>
      </c>
      <c r="B79" s="119" t="s">
        <v>98</v>
      </c>
      <c r="C79" s="119"/>
      <c r="Q79" s="1"/>
      <c r="W79" s="1"/>
    </row>
    <row r="80" spans="1:23" s="21" customFormat="1" ht="12" customHeight="1" x14ac:dyDescent="0.2">
      <c r="A80" s="22" t="s">
        <v>99</v>
      </c>
      <c r="B80" s="119" t="s">
        <v>100</v>
      </c>
      <c r="C80" s="119"/>
      <c r="Q80" s="1"/>
      <c r="W80" s="1"/>
    </row>
    <row r="81" spans="1:23" s="21" customFormat="1" ht="12" customHeight="1" x14ac:dyDescent="0.2">
      <c r="A81" s="22" t="s">
        <v>94</v>
      </c>
      <c r="B81" s="119" t="s">
        <v>95</v>
      </c>
      <c r="C81" s="119"/>
      <c r="Q81" s="1"/>
      <c r="W81" s="1"/>
    </row>
    <row r="82" spans="1:23" s="21" customFormat="1" ht="12" customHeight="1" x14ac:dyDescent="0.2">
      <c r="A82" s="22" t="s">
        <v>92</v>
      </c>
      <c r="B82" s="119" t="s">
        <v>93</v>
      </c>
      <c r="C82" s="119"/>
      <c r="Q82" s="1"/>
      <c r="W82" s="1"/>
    </row>
    <row r="83" spans="1:23" s="21" customFormat="1" ht="12" customHeight="1" x14ac:dyDescent="0.2">
      <c r="A83" s="22" t="s">
        <v>90</v>
      </c>
      <c r="B83" s="119" t="s">
        <v>91</v>
      </c>
      <c r="C83" s="119"/>
      <c r="Q83" s="1"/>
      <c r="W83" s="1"/>
    </row>
    <row r="84" spans="1:23" s="21" customFormat="1" ht="12" customHeight="1" x14ac:dyDescent="0.2">
      <c r="A84" s="22" t="s">
        <v>88</v>
      </c>
      <c r="B84" s="119" t="s">
        <v>89</v>
      </c>
      <c r="C84" s="119"/>
      <c r="Q84" s="1"/>
      <c r="W84" s="1"/>
    </row>
    <row r="85" spans="1:23" s="21" customFormat="1" ht="12" customHeight="1" x14ac:dyDescent="0.2">
      <c r="A85" s="22" t="s">
        <v>86</v>
      </c>
      <c r="B85" s="119" t="s">
        <v>87</v>
      </c>
      <c r="C85" s="119"/>
      <c r="Q85" s="1"/>
      <c r="W85" s="1"/>
    </row>
    <row r="86" spans="1:23" s="21" customFormat="1" ht="12" customHeight="1" x14ac:dyDescent="0.2">
      <c r="A86" s="22" t="s">
        <v>101</v>
      </c>
      <c r="B86" s="119" t="s">
        <v>102</v>
      </c>
      <c r="C86" s="119"/>
      <c r="Q86" s="1"/>
      <c r="W86" s="1"/>
    </row>
    <row r="87" spans="1:23" s="21" customFormat="1" ht="12" customHeight="1" x14ac:dyDescent="0.2">
      <c r="A87" s="22" t="s">
        <v>103</v>
      </c>
      <c r="B87" s="119" t="s">
        <v>104</v>
      </c>
      <c r="C87" s="119"/>
      <c r="Q87" s="1"/>
      <c r="W87" s="1"/>
    </row>
    <row r="88" spans="1:23" s="21" customFormat="1" ht="12" customHeight="1" x14ac:dyDescent="0.2">
      <c r="A88" s="22" t="s">
        <v>105</v>
      </c>
      <c r="B88" s="119" t="s">
        <v>106</v>
      </c>
      <c r="C88" s="119"/>
      <c r="Q88" s="1"/>
      <c r="W88" s="1"/>
    </row>
    <row r="89" spans="1:23" s="21" customFormat="1" ht="12" customHeight="1" x14ac:dyDescent="0.2">
      <c r="Q89" s="1"/>
      <c r="W89" s="1"/>
    </row>
    <row r="90" spans="1:23" s="21" customFormat="1" ht="12" customHeight="1" x14ac:dyDescent="0.2">
      <c r="Q90" s="1"/>
      <c r="W90" s="1"/>
    </row>
    <row r="91" spans="1:23" s="21" customFormat="1" ht="12" customHeight="1" x14ac:dyDescent="0.2">
      <c r="A91" s="118" t="s">
        <v>107</v>
      </c>
      <c r="B91" s="118"/>
      <c r="C91" s="118"/>
      <c r="Q91" s="1"/>
      <c r="W91" s="1"/>
    </row>
    <row r="92" spans="1:23" s="21" customFormat="1" ht="37.9" customHeight="1" x14ac:dyDescent="0.2">
      <c r="A92" s="23" t="s">
        <v>108</v>
      </c>
      <c r="B92" s="121" t="s">
        <v>109</v>
      </c>
      <c r="C92" s="121"/>
      <c r="Q92" s="1"/>
      <c r="W92" s="1"/>
    </row>
    <row r="93" spans="1:23" s="21" customFormat="1" ht="37.9" customHeight="1" x14ac:dyDescent="0.2">
      <c r="A93" s="24" t="s">
        <v>110</v>
      </c>
      <c r="B93" s="121" t="s">
        <v>111</v>
      </c>
      <c r="C93" s="121"/>
      <c r="Q93" s="1"/>
      <c r="W93" s="1"/>
    </row>
    <row r="94" spans="1:23" s="21" customFormat="1" ht="37.9" customHeight="1" x14ac:dyDescent="0.2">
      <c r="A94" s="25" t="s">
        <v>112</v>
      </c>
      <c r="B94" s="121" t="s">
        <v>113</v>
      </c>
      <c r="C94" s="121"/>
      <c r="Q94" s="1"/>
      <c r="W94" s="1"/>
    </row>
    <row r="95" spans="1:23" s="21" customFormat="1" ht="37.9" customHeight="1" x14ac:dyDescent="0.2">
      <c r="A95" s="26" t="s">
        <v>114</v>
      </c>
      <c r="B95" s="121" t="s">
        <v>115</v>
      </c>
      <c r="C95" s="121"/>
      <c r="Q95" s="1"/>
      <c r="W95" s="1"/>
    </row>
    <row r="96" spans="1:23" s="21" customFormat="1" ht="37.9" customHeight="1" x14ac:dyDescent="0.2">
      <c r="A96" s="27" t="s">
        <v>116</v>
      </c>
      <c r="B96" s="121" t="s">
        <v>117</v>
      </c>
      <c r="C96" s="121"/>
      <c r="Q96" s="1"/>
      <c r="W96" s="1"/>
    </row>
    <row r="97" spans="1:23" s="21" customFormat="1" ht="37.9" customHeight="1" x14ac:dyDescent="0.2">
      <c r="A97" s="28" t="s">
        <v>118</v>
      </c>
      <c r="B97" s="121" t="s">
        <v>119</v>
      </c>
      <c r="C97" s="121"/>
      <c r="Q97" s="1"/>
      <c r="W97" s="1"/>
    </row>
    <row r="98" spans="1:23" s="21" customFormat="1" ht="37.9" customHeight="1" x14ac:dyDescent="0.2">
      <c r="A98" s="29" t="s">
        <v>120</v>
      </c>
      <c r="B98" s="121" t="s">
        <v>121</v>
      </c>
      <c r="C98" s="121"/>
      <c r="Q98" s="1"/>
      <c r="W98" s="1"/>
    </row>
    <row r="99" spans="1:23" s="21" customFormat="1" ht="12" customHeight="1" x14ac:dyDescent="0.2">
      <c r="Q99" s="1"/>
      <c r="W99" s="1"/>
    </row>
    <row r="100" spans="1:23" s="21" customFormat="1" ht="12" customHeight="1" x14ac:dyDescent="0.2">
      <c r="W100" s="1"/>
    </row>
    <row r="101" spans="1:23" s="21" customFormat="1" ht="12" customHeight="1" x14ac:dyDescent="0.2">
      <c r="A101" s="118" t="s">
        <v>122</v>
      </c>
      <c r="B101" s="118"/>
      <c r="C101" s="118"/>
      <c r="W101" s="1"/>
    </row>
    <row r="102" spans="1:23" s="21" customFormat="1" ht="12" customHeight="1" x14ac:dyDescent="0.2">
      <c r="A102" s="122" t="s">
        <v>123</v>
      </c>
      <c r="B102" s="122"/>
      <c r="C102" s="122"/>
      <c r="Q102" s="1"/>
      <c r="W102" s="1"/>
    </row>
    <row r="103" spans="1:23" s="21" customFormat="1" ht="12" customHeight="1" x14ac:dyDescent="0.2">
      <c r="A103" s="30"/>
    </row>
    <row r="104" spans="1:23" ht="12" customHeight="1" x14ac:dyDescent="0.2">
      <c r="A104" s="31"/>
      <c r="B104" s="32"/>
    </row>
    <row r="105" spans="1:23" ht="12" customHeight="1" x14ac:dyDescent="0.2">
      <c r="A105" s="33"/>
      <c r="B105" s="32"/>
    </row>
    <row r="106" spans="1:23" ht="12" customHeight="1" x14ac:dyDescent="0.2">
      <c r="B106" s="33"/>
      <c r="C106" s="32"/>
    </row>
    <row r="107" spans="1:23" ht="12" customHeight="1" x14ac:dyDescent="0.2">
      <c r="A107" s="33"/>
      <c r="B107" s="32"/>
    </row>
    <row r="108" spans="1:23" ht="12" customHeight="1" x14ac:dyDescent="0.2">
      <c r="C108" s="32"/>
    </row>
    <row r="109" spans="1:23" x14ac:dyDescent="0.2">
      <c r="C109" s="32"/>
    </row>
    <row r="110" spans="1:23" x14ac:dyDescent="0.2">
      <c r="C110" s="32"/>
    </row>
    <row r="111" spans="1:23" x14ac:dyDescent="0.2">
      <c r="B111" s="33"/>
      <c r="C111" s="32"/>
    </row>
    <row r="112" spans="1:23" x14ac:dyDescent="0.2">
      <c r="A112" s="31"/>
      <c r="B112" s="32"/>
    </row>
    <row r="113" spans="1:2" x14ac:dyDescent="0.2">
      <c r="A113" s="31"/>
      <c r="B113" s="32"/>
    </row>
    <row r="114" spans="1:2" x14ac:dyDescent="0.2">
      <c r="A114" s="34"/>
      <c r="B114" s="32"/>
    </row>
    <row r="115" spans="1:2" x14ac:dyDescent="0.2">
      <c r="A115" s="34"/>
      <c r="B115" s="32"/>
    </row>
    <row r="116" spans="1:2" x14ac:dyDescent="0.2">
      <c r="A116" s="33"/>
      <c r="B116" s="32"/>
    </row>
    <row r="117" spans="1:2" x14ac:dyDescent="0.2">
      <c r="A117" s="33"/>
      <c r="B117" s="32"/>
    </row>
    <row r="118" spans="1:2" x14ac:dyDescent="0.2">
      <c r="A118" s="33"/>
    </row>
    <row r="119" spans="1:2" x14ac:dyDescent="0.2">
      <c r="A119" s="33"/>
    </row>
    <row r="120" spans="1:2" x14ac:dyDescent="0.2">
      <c r="A120" s="33"/>
    </row>
    <row r="121" spans="1:2" x14ac:dyDescent="0.2">
      <c r="A121" s="33"/>
    </row>
    <row r="122" spans="1:2" x14ac:dyDescent="0.2">
      <c r="A122" s="33"/>
    </row>
    <row r="123" spans="1:2" x14ac:dyDescent="0.2">
      <c r="A123" s="33"/>
    </row>
    <row r="124" spans="1:2" x14ac:dyDescent="0.2">
      <c r="A124" s="33"/>
    </row>
    <row r="125" spans="1:2" x14ac:dyDescent="0.2">
      <c r="A125" s="33"/>
    </row>
    <row r="126" spans="1:2" x14ac:dyDescent="0.2">
      <c r="A126" s="33"/>
    </row>
    <row r="127" spans="1:2" x14ac:dyDescent="0.2">
      <c r="A127" s="33"/>
    </row>
    <row r="129" spans="1:1" x14ac:dyDescent="0.2">
      <c r="A129" s="33"/>
    </row>
    <row r="130" spans="1:1" x14ac:dyDescent="0.2">
      <c r="A130" s="33"/>
    </row>
    <row r="133" spans="1:1" x14ac:dyDescent="0.2">
      <c r="A133" s="33"/>
    </row>
  </sheetData>
  <mergeCells count="74">
    <mergeCell ref="B97:C97"/>
    <mergeCell ref="B98:C98"/>
    <mergeCell ref="A101:C101"/>
    <mergeCell ref="A102:C102"/>
    <mergeCell ref="B92:C92"/>
    <mergeCell ref="B93:C93"/>
    <mergeCell ref="B94:C94"/>
    <mergeCell ref="B95:C95"/>
    <mergeCell ref="B96:C96"/>
    <mergeCell ref="B85:C85"/>
    <mergeCell ref="B86:C86"/>
    <mergeCell ref="B87:C87"/>
    <mergeCell ref="B88:C88"/>
    <mergeCell ref="A91:C91"/>
    <mergeCell ref="B80:C80"/>
    <mergeCell ref="B81:C81"/>
    <mergeCell ref="B82:C82"/>
    <mergeCell ref="B83:C83"/>
    <mergeCell ref="B84:C84"/>
    <mergeCell ref="B73:C73"/>
    <mergeCell ref="B74:C74"/>
    <mergeCell ref="B75:C75"/>
    <mergeCell ref="A78:C78"/>
    <mergeCell ref="B79:C79"/>
    <mergeCell ref="A68:C68"/>
    <mergeCell ref="B69:C69"/>
    <mergeCell ref="B70:C70"/>
    <mergeCell ref="B71:C71"/>
    <mergeCell ref="B72:C72"/>
    <mergeCell ref="B61:C61"/>
    <mergeCell ref="B62:C62"/>
    <mergeCell ref="B63:C63"/>
    <mergeCell ref="B64:C64"/>
    <mergeCell ref="B65:C65"/>
    <mergeCell ref="B54:C54"/>
    <mergeCell ref="B55:C55"/>
    <mergeCell ref="B56:C56"/>
    <mergeCell ref="B57:C57"/>
    <mergeCell ref="A60:C60"/>
    <mergeCell ref="B49:C49"/>
    <mergeCell ref="B50:C50"/>
    <mergeCell ref="B51:C51"/>
    <mergeCell ref="B52:C52"/>
    <mergeCell ref="B53:C53"/>
    <mergeCell ref="B42:C42"/>
    <mergeCell ref="B43:C43"/>
    <mergeCell ref="B44:C44"/>
    <mergeCell ref="B45:C45"/>
    <mergeCell ref="A48:C48"/>
    <mergeCell ref="B35:C35"/>
    <mergeCell ref="A38:C38"/>
    <mergeCell ref="B39:C39"/>
    <mergeCell ref="B40:C40"/>
    <mergeCell ref="B41:C41"/>
    <mergeCell ref="B28:C28"/>
    <mergeCell ref="B29:C29"/>
    <mergeCell ref="A32:C32"/>
    <mergeCell ref="B33:C33"/>
    <mergeCell ref="B34:C34"/>
    <mergeCell ref="B23:C23"/>
    <mergeCell ref="B24:C24"/>
    <mergeCell ref="B25:C25"/>
    <mergeCell ref="B26:C26"/>
    <mergeCell ref="B27:C27"/>
    <mergeCell ref="B10:C10"/>
    <mergeCell ref="A11:A19"/>
    <mergeCell ref="B20:C20"/>
    <mergeCell ref="B21:C21"/>
    <mergeCell ref="B22:C22"/>
    <mergeCell ref="A3:C3"/>
    <mergeCell ref="A4:C4"/>
    <mergeCell ref="A5:C5"/>
    <mergeCell ref="A7:C7"/>
    <mergeCell ref="A9:C9"/>
  </mergeCells>
  <conditionalFormatting sqref="A79:A88">
    <cfRule type="cellIs" dxfId="73" priority="2" operator="equal">
      <formula>"Minor"</formula>
    </cfRule>
    <cfRule type="cellIs" dxfId="72" priority="3" operator="equal">
      <formula>"Not implemented"</formula>
    </cfRule>
    <cfRule type="cellIs" dxfId="71" priority="4" operator="equal">
      <formula>"Not tested"</formula>
    </cfRule>
    <cfRule type="cellIs" dxfId="70" priority="5" operator="equal">
      <formula>"Not available"</formula>
    </cfRule>
    <cfRule type="cellIs" dxfId="69" priority="6" operator="equal">
      <formula>"Critical"</formula>
    </cfRule>
    <cfRule type="cellIs" dxfId="68" priority="7" operator="equal">
      <formula>"Major"</formula>
    </cfRule>
    <cfRule type="cellIs" dxfId="67" priority="8" operator="equal">
      <formula>"Average"</formula>
    </cfRule>
    <cfRule type="cellIs" dxfId="66" priority="9" operator="equal">
      <formula>"OK"</formula>
    </cfRule>
    <cfRule type="cellIs" dxfId="65" priority="10" operator="equal">
      <formula>"Enhancement"</formula>
    </cfRule>
    <cfRule type="cellIs" dxfId="64" priority="11" operator="equal">
      <formula>"Partially tested"</formula>
    </cfRule>
  </conditionalFormatting>
  <pageMargins left="0.75" right="0.75" top="1" bottom="1" header="0.51180555555555496" footer="0.51180555555555496"/>
  <pageSetup firstPageNumber="0"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109"/>
  <sheetViews>
    <sheetView zoomScale="130" zoomScaleNormal="130" workbookViewId="0">
      <pane xSplit="1" ySplit="3" topLeftCell="D4" activePane="bottomRight" state="frozen"/>
      <selection pane="topRight" activeCell="D1" sqref="D1"/>
      <selection pane="bottomLeft" activeCell="A4" sqref="A4"/>
      <selection pane="bottomRight" activeCell="A8" sqref="A8"/>
    </sheetView>
  </sheetViews>
  <sheetFormatPr defaultRowHeight="12.75" outlineLevelRow="1" x14ac:dyDescent="0.2"/>
  <cols>
    <col min="1" max="1" width="25.7109375" style="21" customWidth="1"/>
    <col min="2" max="11" width="16.7109375" style="21" customWidth="1"/>
    <col min="12" max="12" width="16.7109375" style="35" customWidth="1"/>
    <col min="13" max="14" width="16.7109375" style="21" customWidth="1"/>
    <col min="15" max="1025" width="9.140625" style="21" customWidth="1"/>
  </cols>
  <sheetData>
    <row r="1" spans="1:14" s="4" customFormat="1" ht="48.95" customHeight="1" x14ac:dyDescent="0.2">
      <c r="A1" s="2" t="s">
        <v>0</v>
      </c>
      <c r="B1" s="3"/>
      <c r="C1" s="3"/>
      <c r="D1" s="3"/>
      <c r="E1" s="3"/>
      <c r="F1" s="3"/>
      <c r="J1" s="5"/>
    </row>
    <row r="2" spans="1:14" s="38" customFormat="1" ht="12" customHeight="1" x14ac:dyDescent="0.2">
      <c r="A2" s="36" t="s">
        <v>5</v>
      </c>
      <c r="B2" s="37"/>
      <c r="C2" s="37"/>
      <c r="D2" s="37"/>
      <c r="E2" s="37"/>
      <c r="F2" s="37"/>
      <c r="G2" s="37"/>
      <c r="H2" s="37"/>
      <c r="I2" s="37"/>
      <c r="J2" s="37"/>
      <c r="N2" s="39" t="s">
        <v>124</v>
      </c>
    </row>
    <row r="3" spans="1:14" ht="12" customHeight="1" x14ac:dyDescent="0.2">
      <c r="A3" s="40" t="s">
        <v>125</v>
      </c>
      <c r="B3" s="41" t="s">
        <v>126</v>
      </c>
      <c r="C3" s="41" t="s">
        <v>127</v>
      </c>
      <c r="D3" s="41" t="s">
        <v>128</v>
      </c>
      <c r="E3" s="41" t="s">
        <v>129</v>
      </c>
      <c r="F3" s="41" t="s">
        <v>130</v>
      </c>
      <c r="G3" s="41" t="s">
        <v>131</v>
      </c>
      <c r="H3" s="41" t="s">
        <v>132</v>
      </c>
      <c r="I3" s="41" t="s">
        <v>133</v>
      </c>
      <c r="J3" s="41" t="s">
        <v>134</v>
      </c>
      <c r="N3" s="42">
        <v>3</v>
      </c>
    </row>
    <row r="4" spans="1:14" ht="12" customHeight="1" x14ac:dyDescent="0.2">
      <c r="A4" s="40" t="s">
        <v>8</v>
      </c>
      <c r="B4" s="41" t="s">
        <v>13</v>
      </c>
      <c r="C4" s="41" t="s">
        <v>17</v>
      </c>
      <c r="D4" s="41" t="s">
        <v>9</v>
      </c>
      <c r="E4" s="41" t="s">
        <v>19</v>
      </c>
      <c r="F4" s="41" t="s">
        <v>11</v>
      </c>
      <c r="G4" s="41" t="s">
        <v>15</v>
      </c>
      <c r="H4" s="41" t="s">
        <v>21</v>
      </c>
      <c r="I4" s="41" t="s">
        <v>21</v>
      </c>
      <c r="J4" s="41" t="s">
        <v>17</v>
      </c>
      <c r="N4" s="42">
        <v>3</v>
      </c>
    </row>
    <row r="5" spans="1:14" ht="12" customHeight="1" x14ac:dyDescent="0.2">
      <c r="A5" s="40" t="s">
        <v>24</v>
      </c>
      <c r="B5" s="43" t="s">
        <v>135</v>
      </c>
      <c r="C5" s="43">
        <v>41191</v>
      </c>
      <c r="D5" s="43">
        <v>41213</v>
      </c>
      <c r="E5" s="43">
        <v>41214</v>
      </c>
      <c r="F5" s="43">
        <v>41215</v>
      </c>
      <c r="G5" s="43">
        <v>41216</v>
      </c>
      <c r="H5" s="43">
        <v>41217</v>
      </c>
      <c r="I5" s="43">
        <v>41218</v>
      </c>
      <c r="J5" s="43">
        <v>41219</v>
      </c>
      <c r="N5" s="42">
        <v>3</v>
      </c>
    </row>
    <row r="6" spans="1:14" ht="12" customHeight="1" x14ac:dyDescent="0.2">
      <c r="A6" s="40" t="s">
        <v>26</v>
      </c>
      <c r="B6" s="43" t="s">
        <v>136</v>
      </c>
      <c r="C6" s="44" t="s">
        <v>137</v>
      </c>
      <c r="D6" s="44" t="s">
        <v>138</v>
      </c>
      <c r="E6" s="44" t="s">
        <v>136</v>
      </c>
      <c r="F6" s="44" t="s">
        <v>136</v>
      </c>
      <c r="G6" s="44" t="s">
        <v>136</v>
      </c>
      <c r="H6" s="44" t="s">
        <v>139</v>
      </c>
      <c r="I6" s="44" t="s">
        <v>136</v>
      </c>
      <c r="J6" s="44" t="s">
        <v>140</v>
      </c>
      <c r="N6" s="42"/>
    </row>
    <row r="7" spans="1:14" ht="12" customHeight="1" x14ac:dyDescent="0.2">
      <c r="A7" s="40" t="s">
        <v>28</v>
      </c>
      <c r="B7" s="43" t="s">
        <v>141</v>
      </c>
      <c r="C7" s="44" t="s">
        <v>141</v>
      </c>
      <c r="D7" s="44" t="s">
        <v>141</v>
      </c>
      <c r="E7" s="44" t="s">
        <v>141</v>
      </c>
      <c r="F7" s="44" t="s">
        <v>141</v>
      </c>
      <c r="G7" s="44" t="s">
        <v>141</v>
      </c>
      <c r="H7" s="44" t="s">
        <v>142</v>
      </c>
      <c r="I7" s="44" t="s">
        <v>141</v>
      </c>
      <c r="J7" s="44" t="s">
        <v>143</v>
      </c>
      <c r="N7" s="45"/>
    </row>
    <row r="8" spans="1:14" ht="12" customHeight="1" x14ac:dyDescent="0.2">
      <c r="A8" s="40" t="s">
        <v>30</v>
      </c>
      <c r="B8" s="41" t="s">
        <v>144</v>
      </c>
      <c r="C8" s="41" t="s">
        <v>144</v>
      </c>
      <c r="D8" s="41" t="s">
        <v>144</v>
      </c>
      <c r="E8" s="41" t="s">
        <v>144</v>
      </c>
      <c r="F8" s="41" t="s">
        <v>144</v>
      </c>
      <c r="G8" s="41" t="s">
        <v>144</v>
      </c>
      <c r="H8" s="41" t="s">
        <v>145</v>
      </c>
      <c r="I8" s="41" t="s">
        <v>146</v>
      </c>
      <c r="J8" s="41" t="s">
        <v>147</v>
      </c>
      <c r="N8" s="45"/>
    </row>
    <row r="9" spans="1:14" ht="12" customHeight="1" x14ac:dyDescent="0.2">
      <c r="A9" s="40" t="s">
        <v>148</v>
      </c>
      <c r="B9" s="41">
        <v>100</v>
      </c>
      <c r="C9" s="41">
        <v>100</v>
      </c>
      <c r="D9" s="41">
        <v>100</v>
      </c>
      <c r="E9" s="41">
        <v>100</v>
      </c>
      <c r="F9" s="41">
        <v>100</v>
      </c>
      <c r="G9" s="41">
        <v>300</v>
      </c>
      <c r="H9" s="41">
        <v>300</v>
      </c>
      <c r="I9" s="41">
        <v>300</v>
      </c>
      <c r="J9" s="41">
        <v>100</v>
      </c>
      <c r="N9" s="45"/>
    </row>
    <row r="10" spans="1:14" ht="12" customHeight="1" x14ac:dyDescent="0.2">
      <c r="A10" s="40" t="s">
        <v>34</v>
      </c>
      <c r="B10" s="46" t="s">
        <v>116</v>
      </c>
      <c r="C10" s="46" t="s">
        <v>112</v>
      </c>
      <c r="D10" s="46" t="s">
        <v>118</v>
      </c>
      <c r="E10" s="46" t="s">
        <v>110</v>
      </c>
      <c r="F10" s="46" t="s">
        <v>112</v>
      </c>
      <c r="G10" s="46" t="s">
        <v>116</v>
      </c>
      <c r="H10" s="46" t="s">
        <v>112</v>
      </c>
      <c r="I10" s="46" t="s">
        <v>108</v>
      </c>
      <c r="J10" s="46" t="s">
        <v>114</v>
      </c>
      <c r="N10" s="42">
        <v>3</v>
      </c>
    </row>
    <row r="11" spans="1:14" ht="12" customHeight="1" x14ac:dyDescent="0.2">
      <c r="A11" s="47" t="s">
        <v>36</v>
      </c>
      <c r="B11" s="48">
        <f t="shared" ref="B11:J11" si="0">ROUND(EXP(-1*(100*B51+20*B52+4*B53+2*B54+1*B55)/B9),3)</f>
        <v>6.8000000000000005E-2</v>
      </c>
      <c r="C11" s="48">
        <f t="shared" si="0"/>
        <v>0.92300000000000004</v>
      </c>
      <c r="D11" s="48">
        <f t="shared" si="0"/>
        <v>0.14399999999999999</v>
      </c>
      <c r="E11" s="48">
        <f t="shared" si="0"/>
        <v>0.20200000000000001</v>
      </c>
      <c r="F11" s="48">
        <f t="shared" si="0"/>
        <v>2.5999999999999999E-2</v>
      </c>
      <c r="G11" s="48">
        <f t="shared" si="0"/>
        <v>0.55200000000000005</v>
      </c>
      <c r="H11" s="48">
        <f t="shared" si="0"/>
        <v>0.64</v>
      </c>
      <c r="I11" s="48">
        <f t="shared" si="0"/>
        <v>0.76100000000000001</v>
      </c>
      <c r="J11" s="48">
        <f t="shared" si="0"/>
        <v>4.4999999999999998E-2</v>
      </c>
      <c r="N11" s="42">
        <v>3</v>
      </c>
    </row>
    <row r="12" spans="1:14" ht="12" customHeight="1" x14ac:dyDescent="0.2">
      <c r="A12" s="40" t="s">
        <v>38</v>
      </c>
      <c r="B12" s="49">
        <v>52</v>
      </c>
      <c r="C12" s="50" t="s">
        <v>149</v>
      </c>
      <c r="D12" s="49">
        <v>27</v>
      </c>
      <c r="E12" s="49">
        <v>19</v>
      </c>
      <c r="F12" s="49">
        <v>22</v>
      </c>
      <c r="G12" s="49">
        <v>16</v>
      </c>
      <c r="H12" s="49">
        <v>23</v>
      </c>
      <c r="I12" s="49">
        <v>13</v>
      </c>
      <c r="J12" s="49">
        <v>5</v>
      </c>
      <c r="N12" s="42">
        <v>3</v>
      </c>
    </row>
    <row r="13" spans="1:14" ht="12" customHeight="1" x14ac:dyDescent="0.2">
      <c r="A13" s="40" t="s">
        <v>40</v>
      </c>
      <c r="B13" s="41">
        <v>52</v>
      </c>
      <c r="C13" s="51" t="s">
        <v>149</v>
      </c>
      <c r="D13" s="41">
        <v>10</v>
      </c>
      <c r="E13" s="41">
        <v>11</v>
      </c>
      <c r="F13" s="41">
        <v>12</v>
      </c>
      <c r="G13" s="41">
        <v>13</v>
      </c>
      <c r="H13" s="41">
        <v>14</v>
      </c>
      <c r="I13" s="41">
        <v>15</v>
      </c>
      <c r="J13" s="41">
        <v>6</v>
      </c>
      <c r="N13" s="45"/>
    </row>
    <row r="14" spans="1:14" ht="12" customHeight="1" x14ac:dyDescent="0.2">
      <c r="A14" s="40" t="s">
        <v>42</v>
      </c>
      <c r="B14" s="52"/>
      <c r="C14" s="52"/>
      <c r="D14" s="52"/>
      <c r="E14" s="52"/>
      <c r="F14" s="52"/>
      <c r="G14" s="52"/>
      <c r="H14" s="52"/>
      <c r="I14" s="52"/>
      <c r="J14" s="52"/>
      <c r="N14" s="45"/>
    </row>
    <row r="15" spans="1:14" ht="12" customHeight="1" x14ac:dyDescent="0.2">
      <c r="A15" s="53"/>
      <c r="B15" s="54"/>
      <c r="C15" s="54"/>
      <c r="D15" s="54"/>
      <c r="E15" s="54"/>
      <c r="F15" s="54"/>
      <c r="G15" s="54"/>
      <c r="H15" s="54"/>
      <c r="I15" s="54"/>
      <c r="J15" s="54"/>
      <c r="N15" s="45"/>
    </row>
    <row r="16" spans="1:14" ht="12" customHeight="1" x14ac:dyDescent="0.2">
      <c r="A16" s="55" t="s">
        <v>150</v>
      </c>
      <c r="B16" s="56"/>
      <c r="C16" s="56"/>
      <c r="D16" s="56"/>
      <c r="E16" s="56"/>
      <c r="F16" s="56"/>
      <c r="G16" s="56"/>
      <c r="H16" s="56"/>
      <c r="I16" s="56"/>
      <c r="J16" s="57"/>
      <c r="N16" s="45"/>
    </row>
    <row r="17" spans="1:14" ht="12" customHeight="1" x14ac:dyDescent="0.2">
      <c r="A17" s="53"/>
      <c r="B17" s="54"/>
      <c r="C17" s="54"/>
      <c r="D17" s="54"/>
      <c r="E17" s="54"/>
      <c r="F17" s="54"/>
      <c r="G17" s="54"/>
      <c r="H17" s="54"/>
      <c r="I17" s="54"/>
      <c r="J17" s="54"/>
      <c r="N17" s="45"/>
    </row>
    <row r="18" spans="1:14" ht="12" customHeight="1" x14ac:dyDescent="0.2">
      <c r="A18" s="58" t="s">
        <v>151</v>
      </c>
      <c r="B18" s="37"/>
      <c r="C18" s="37"/>
      <c r="D18" s="37"/>
      <c r="E18" s="37"/>
      <c r="F18" s="37"/>
      <c r="G18" s="37"/>
      <c r="H18" s="37"/>
      <c r="I18" s="37"/>
      <c r="J18" s="37"/>
      <c r="N18" s="45"/>
    </row>
    <row r="19" spans="1:14" ht="12" hidden="1" customHeight="1" outlineLevel="1" x14ac:dyDescent="0.2">
      <c r="A19" s="40" t="s">
        <v>40</v>
      </c>
      <c r="B19" s="49">
        <v>46</v>
      </c>
      <c r="C19" s="50" t="s">
        <v>149</v>
      </c>
      <c r="D19" s="49">
        <v>10</v>
      </c>
      <c r="E19" s="49">
        <v>10</v>
      </c>
      <c r="F19" s="49">
        <v>10</v>
      </c>
      <c r="G19" s="49">
        <v>10</v>
      </c>
      <c r="H19" s="49">
        <v>10</v>
      </c>
      <c r="I19" s="49">
        <v>10</v>
      </c>
      <c r="J19" s="49">
        <v>10</v>
      </c>
      <c r="N19" s="45"/>
    </row>
    <row r="20" spans="1:14" ht="12" hidden="1" customHeight="1" outlineLevel="1" x14ac:dyDescent="0.2">
      <c r="A20" s="40" t="s">
        <v>46</v>
      </c>
      <c r="B20" s="41">
        <v>8</v>
      </c>
      <c r="C20" s="51" t="s">
        <v>149</v>
      </c>
      <c r="D20" s="41">
        <v>0</v>
      </c>
      <c r="E20" s="41">
        <v>0</v>
      </c>
      <c r="F20" s="41">
        <v>0</v>
      </c>
      <c r="G20" s="41">
        <v>0</v>
      </c>
      <c r="H20" s="41">
        <v>0</v>
      </c>
      <c r="I20" s="41">
        <v>0</v>
      </c>
      <c r="J20" s="41">
        <v>0</v>
      </c>
      <c r="N20" s="45"/>
    </row>
    <row r="21" spans="1:14" ht="12" hidden="1" customHeight="1" outlineLevel="1" x14ac:dyDescent="0.2">
      <c r="A21" s="40" t="s">
        <v>42</v>
      </c>
      <c r="B21" s="41"/>
      <c r="C21" s="41"/>
      <c r="D21" s="41"/>
      <c r="E21" s="41"/>
      <c r="F21" s="41"/>
      <c r="G21" s="41"/>
      <c r="H21" s="41"/>
      <c r="I21" s="41"/>
      <c r="J21" s="41"/>
      <c r="N21" s="45"/>
    </row>
    <row r="22" spans="1:14" ht="12" customHeight="1" collapsed="1" x14ac:dyDescent="0.2">
      <c r="A22" s="53"/>
      <c r="B22" s="54"/>
      <c r="C22" s="54"/>
      <c r="D22" s="54"/>
      <c r="E22" s="54"/>
      <c r="F22" s="54"/>
      <c r="G22" s="54"/>
      <c r="H22" s="54"/>
      <c r="I22" s="54"/>
      <c r="J22" s="54"/>
      <c r="N22" s="45"/>
    </row>
    <row r="23" spans="1:14" ht="12" customHeight="1" x14ac:dyDescent="0.2">
      <c r="A23" s="58" t="s">
        <v>152</v>
      </c>
      <c r="B23" s="37"/>
      <c r="C23" s="37"/>
      <c r="D23" s="37"/>
      <c r="E23" s="37"/>
      <c r="F23" s="37"/>
      <c r="G23" s="37"/>
      <c r="H23" s="37"/>
      <c r="I23" s="37"/>
      <c r="J23" s="37"/>
      <c r="N23" s="42">
        <v>3</v>
      </c>
    </row>
    <row r="24" spans="1:14" ht="12" customHeight="1" x14ac:dyDescent="0.2">
      <c r="A24" s="40" t="s">
        <v>49</v>
      </c>
      <c r="B24" s="41">
        <v>32</v>
      </c>
      <c r="C24" s="41">
        <v>5</v>
      </c>
      <c r="D24" s="41">
        <v>19</v>
      </c>
      <c r="E24" s="41">
        <v>11</v>
      </c>
      <c r="F24" s="41">
        <v>13</v>
      </c>
      <c r="G24" s="41">
        <v>8</v>
      </c>
      <c r="H24" s="41">
        <v>15</v>
      </c>
      <c r="I24" s="41">
        <v>5</v>
      </c>
      <c r="J24" s="41">
        <v>8</v>
      </c>
      <c r="N24" s="45"/>
    </row>
    <row r="25" spans="1:14" ht="12" customHeight="1" x14ac:dyDescent="0.2">
      <c r="A25" s="40" t="s">
        <v>51</v>
      </c>
      <c r="B25" s="41">
        <v>2</v>
      </c>
      <c r="C25" s="41">
        <v>0</v>
      </c>
      <c r="D25" s="41">
        <v>0</v>
      </c>
      <c r="E25" s="41">
        <v>0</v>
      </c>
      <c r="F25" s="41">
        <v>0</v>
      </c>
      <c r="G25" s="41">
        <v>0</v>
      </c>
      <c r="H25" s="41">
        <v>0</v>
      </c>
      <c r="I25" s="41">
        <v>0</v>
      </c>
      <c r="J25" s="41">
        <v>0</v>
      </c>
      <c r="N25" s="45"/>
    </row>
    <row r="26" spans="1:14" ht="12" customHeight="1" x14ac:dyDescent="0.2">
      <c r="A26" s="40" t="s">
        <v>53</v>
      </c>
      <c r="B26" s="41">
        <v>15</v>
      </c>
      <c r="C26" s="41">
        <v>0</v>
      </c>
      <c r="D26" s="41">
        <v>5</v>
      </c>
      <c r="E26" s="41">
        <v>5</v>
      </c>
      <c r="F26" s="41">
        <v>6</v>
      </c>
      <c r="G26" s="41">
        <v>5</v>
      </c>
      <c r="H26" s="41">
        <v>5</v>
      </c>
      <c r="I26" s="41">
        <v>5</v>
      </c>
      <c r="J26" s="41">
        <v>10</v>
      </c>
      <c r="N26" s="45"/>
    </row>
    <row r="27" spans="1:14" ht="12" customHeight="1" x14ac:dyDescent="0.2">
      <c r="A27" s="59" t="s">
        <v>55</v>
      </c>
      <c r="B27" s="41">
        <v>3</v>
      </c>
      <c r="C27" s="41">
        <v>3</v>
      </c>
      <c r="D27" s="41">
        <v>3</v>
      </c>
      <c r="E27" s="41">
        <v>3</v>
      </c>
      <c r="F27" s="41">
        <v>3</v>
      </c>
      <c r="G27" s="41">
        <v>3</v>
      </c>
      <c r="H27" s="41">
        <v>3</v>
      </c>
      <c r="I27" s="41">
        <v>3</v>
      </c>
      <c r="J27" s="41">
        <v>44</v>
      </c>
      <c r="N27" s="45"/>
    </row>
    <row r="28" spans="1:14" ht="12" customHeight="1" x14ac:dyDescent="0.2">
      <c r="A28" s="59" t="s">
        <v>57</v>
      </c>
      <c r="B28" s="41">
        <v>0</v>
      </c>
      <c r="C28" s="41">
        <v>0</v>
      </c>
      <c r="D28" s="41">
        <v>0</v>
      </c>
      <c r="E28" s="41">
        <v>0</v>
      </c>
      <c r="F28" s="41">
        <v>0</v>
      </c>
      <c r="G28" s="41">
        <v>0</v>
      </c>
      <c r="H28" s="41">
        <v>0</v>
      </c>
      <c r="I28" s="41">
        <v>0</v>
      </c>
      <c r="J28" s="41">
        <v>0</v>
      </c>
      <c r="N28" s="45"/>
    </row>
    <row r="29" spans="1:14" ht="12" customHeight="1" x14ac:dyDescent="0.2">
      <c r="A29" s="40" t="s">
        <v>59</v>
      </c>
      <c r="B29" s="49">
        <f t="shared" ref="B29:J29" si="1">SUM(B24:B28)</f>
        <v>52</v>
      </c>
      <c r="C29" s="49">
        <f t="shared" si="1"/>
        <v>8</v>
      </c>
      <c r="D29" s="49">
        <f t="shared" si="1"/>
        <v>27</v>
      </c>
      <c r="E29" s="49">
        <f t="shared" si="1"/>
        <v>19</v>
      </c>
      <c r="F29" s="49">
        <f t="shared" si="1"/>
        <v>22</v>
      </c>
      <c r="G29" s="49">
        <f t="shared" si="1"/>
        <v>16</v>
      </c>
      <c r="H29" s="49">
        <f t="shared" si="1"/>
        <v>23</v>
      </c>
      <c r="I29" s="49">
        <f t="shared" si="1"/>
        <v>13</v>
      </c>
      <c r="J29" s="49">
        <f t="shared" si="1"/>
        <v>62</v>
      </c>
      <c r="N29" s="45"/>
    </row>
    <row r="30" spans="1:14" ht="12" customHeight="1" x14ac:dyDescent="0.2">
      <c r="A30" s="40" t="s">
        <v>42</v>
      </c>
      <c r="B30" s="41"/>
      <c r="C30" s="41"/>
      <c r="D30" s="41"/>
      <c r="E30" s="41"/>
      <c r="F30" s="41"/>
      <c r="G30" s="41"/>
      <c r="H30" s="41"/>
      <c r="I30" s="41"/>
      <c r="J30" s="41"/>
      <c r="N30" s="45"/>
    </row>
    <row r="31" spans="1:14" ht="12" customHeight="1" x14ac:dyDescent="0.2">
      <c r="A31" s="53"/>
      <c r="B31" s="54"/>
      <c r="C31" s="54"/>
      <c r="D31" s="54"/>
      <c r="E31" s="54"/>
      <c r="F31" s="54"/>
      <c r="G31" s="54"/>
      <c r="H31" s="54"/>
      <c r="I31" s="54"/>
      <c r="J31" s="54"/>
      <c r="N31" s="45"/>
    </row>
    <row r="32" spans="1:14" ht="12" customHeight="1" x14ac:dyDescent="0.2">
      <c r="A32" s="58" t="s">
        <v>153</v>
      </c>
      <c r="B32" s="37"/>
      <c r="C32" s="37"/>
      <c r="D32" s="37"/>
      <c r="E32" s="37"/>
      <c r="F32" s="37"/>
      <c r="G32" s="37"/>
      <c r="H32" s="37"/>
      <c r="I32" s="37"/>
      <c r="J32" s="37"/>
      <c r="N32" s="42">
        <v>3</v>
      </c>
    </row>
    <row r="33" spans="1:14" ht="12" hidden="1" customHeight="1" outlineLevel="1" x14ac:dyDescent="0.2">
      <c r="A33" s="40" t="s">
        <v>62</v>
      </c>
      <c r="B33" s="50" t="s">
        <v>149</v>
      </c>
      <c r="C33" s="49">
        <v>49</v>
      </c>
      <c r="D33" s="50" t="s">
        <v>149</v>
      </c>
      <c r="E33" s="50" t="s">
        <v>149</v>
      </c>
      <c r="F33" s="50" t="s">
        <v>149</v>
      </c>
      <c r="G33" s="50" t="s">
        <v>149</v>
      </c>
      <c r="H33" s="50" t="s">
        <v>149</v>
      </c>
      <c r="I33" s="50" t="s">
        <v>149</v>
      </c>
      <c r="J33" s="50" t="s">
        <v>149</v>
      </c>
      <c r="N33" s="45"/>
    </row>
    <row r="34" spans="1:14" ht="12" hidden="1" customHeight="1" outlineLevel="1" x14ac:dyDescent="0.2">
      <c r="A34" s="40" t="s">
        <v>64</v>
      </c>
      <c r="B34" s="51" t="s">
        <v>149</v>
      </c>
      <c r="C34" s="41">
        <v>0</v>
      </c>
      <c r="D34" s="51" t="s">
        <v>149</v>
      </c>
      <c r="E34" s="51" t="s">
        <v>149</v>
      </c>
      <c r="F34" s="51" t="s">
        <v>149</v>
      </c>
      <c r="G34" s="51" t="s">
        <v>149</v>
      </c>
      <c r="H34" s="51" t="s">
        <v>149</v>
      </c>
      <c r="I34" s="51" t="s">
        <v>149</v>
      </c>
      <c r="J34" s="51" t="s">
        <v>149</v>
      </c>
      <c r="N34" s="45"/>
    </row>
    <row r="35" spans="1:14" ht="12" hidden="1" customHeight="1" outlineLevel="1" x14ac:dyDescent="0.2">
      <c r="A35" s="40" t="s">
        <v>66</v>
      </c>
      <c r="B35" s="51" t="s">
        <v>149</v>
      </c>
      <c r="C35" s="41">
        <v>0</v>
      </c>
      <c r="D35" s="51" t="s">
        <v>149</v>
      </c>
      <c r="E35" s="51" t="s">
        <v>149</v>
      </c>
      <c r="F35" s="51" t="s">
        <v>149</v>
      </c>
      <c r="G35" s="51" t="s">
        <v>149</v>
      </c>
      <c r="H35" s="51" t="s">
        <v>149</v>
      </c>
      <c r="I35" s="51" t="s">
        <v>149</v>
      </c>
      <c r="J35" s="51" t="s">
        <v>149</v>
      </c>
      <c r="N35" s="45"/>
    </row>
    <row r="36" spans="1:14" ht="12" hidden="1" customHeight="1" outlineLevel="1" x14ac:dyDescent="0.2">
      <c r="A36" s="40" t="s">
        <v>68</v>
      </c>
      <c r="B36" s="51" t="s">
        <v>149</v>
      </c>
      <c r="C36" s="41">
        <v>1</v>
      </c>
      <c r="D36" s="51" t="s">
        <v>149</v>
      </c>
      <c r="E36" s="51" t="s">
        <v>149</v>
      </c>
      <c r="F36" s="51" t="s">
        <v>149</v>
      </c>
      <c r="G36" s="51" t="s">
        <v>149</v>
      </c>
      <c r="H36" s="51" t="s">
        <v>149</v>
      </c>
      <c r="I36" s="51" t="s">
        <v>149</v>
      </c>
      <c r="J36" s="51" t="s">
        <v>149</v>
      </c>
      <c r="N36" s="45"/>
    </row>
    <row r="37" spans="1:14" ht="12" hidden="1" customHeight="1" outlineLevel="1" x14ac:dyDescent="0.2">
      <c r="A37" s="40" t="s">
        <v>70</v>
      </c>
      <c r="B37" s="51" t="s">
        <v>149</v>
      </c>
      <c r="C37" s="41">
        <v>3</v>
      </c>
      <c r="D37" s="51" t="s">
        <v>149</v>
      </c>
      <c r="E37" s="51" t="s">
        <v>149</v>
      </c>
      <c r="F37" s="51" t="s">
        <v>149</v>
      </c>
      <c r="G37" s="51" t="s">
        <v>149</v>
      </c>
      <c r="H37" s="51" t="s">
        <v>149</v>
      </c>
      <c r="I37" s="51" t="s">
        <v>149</v>
      </c>
      <c r="J37" s="51" t="s">
        <v>149</v>
      </c>
      <c r="N37" s="45"/>
    </row>
    <row r="38" spans="1:14" ht="12" hidden="1" customHeight="1" outlineLevel="1" x14ac:dyDescent="0.2">
      <c r="A38" s="40" t="s">
        <v>72</v>
      </c>
      <c r="B38" s="51" t="s">
        <v>149</v>
      </c>
      <c r="C38" s="41">
        <v>0</v>
      </c>
      <c r="D38" s="51" t="s">
        <v>149</v>
      </c>
      <c r="E38" s="51" t="s">
        <v>149</v>
      </c>
      <c r="F38" s="51" t="s">
        <v>149</v>
      </c>
      <c r="G38" s="51" t="s">
        <v>149</v>
      </c>
      <c r="H38" s="51" t="s">
        <v>149</v>
      </c>
      <c r="I38" s="51" t="s">
        <v>149</v>
      </c>
      <c r="J38" s="51" t="s">
        <v>149</v>
      </c>
      <c r="N38" s="45"/>
    </row>
    <row r="39" spans="1:14" ht="12" hidden="1" customHeight="1" outlineLevel="1" x14ac:dyDescent="0.2">
      <c r="A39" s="40" t="s">
        <v>74</v>
      </c>
      <c r="B39" s="50" t="s">
        <v>149</v>
      </c>
      <c r="C39" s="49">
        <v>1</v>
      </c>
      <c r="D39" s="50" t="s">
        <v>149</v>
      </c>
      <c r="E39" s="50" t="s">
        <v>149</v>
      </c>
      <c r="F39" s="50" t="s">
        <v>149</v>
      </c>
      <c r="G39" s="50" t="s">
        <v>149</v>
      </c>
      <c r="H39" s="50" t="s">
        <v>149</v>
      </c>
      <c r="I39" s="50" t="s">
        <v>149</v>
      </c>
      <c r="J39" s="50" t="s">
        <v>149</v>
      </c>
      <c r="N39" s="45"/>
    </row>
    <row r="40" spans="1:14" ht="12" hidden="1" customHeight="1" outlineLevel="1" x14ac:dyDescent="0.2">
      <c r="A40" s="40" t="s">
        <v>76</v>
      </c>
      <c r="B40" s="41"/>
      <c r="C40" s="60">
        <f>SUM(C34:C39)/(C33+C39)</f>
        <v>0.1</v>
      </c>
      <c r="D40" s="41"/>
      <c r="E40" s="41"/>
      <c r="F40" s="41"/>
      <c r="G40" s="41"/>
      <c r="H40" s="41"/>
      <c r="I40" s="41"/>
      <c r="J40" s="41"/>
      <c r="N40" s="45"/>
    </row>
    <row r="41" spans="1:14" ht="12" hidden="1" customHeight="1" outlineLevel="1" x14ac:dyDescent="0.2">
      <c r="A41" s="40" t="s">
        <v>42</v>
      </c>
      <c r="B41" s="41"/>
      <c r="C41" s="41"/>
      <c r="D41" s="41"/>
      <c r="E41" s="41"/>
      <c r="F41" s="41"/>
      <c r="G41" s="41"/>
      <c r="H41" s="41"/>
      <c r="I41" s="41"/>
      <c r="J41" s="41"/>
      <c r="N41" s="45"/>
    </row>
    <row r="42" spans="1:14" ht="12" customHeight="1" collapsed="1" x14ac:dyDescent="0.2">
      <c r="A42" s="53"/>
      <c r="B42" s="54"/>
      <c r="C42" s="54"/>
      <c r="D42" s="54"/>
      <c r="E42" s="54"/>
      <c r="F42" s="54"/>
      <c r="G42" s="54"/>
      <c r="H42" s="54"/>
      <c r="I42" s="54"/>
      <c r="J42" s="54"/>
      <c r="N42" s="45"/>
    </row>
    <row r="43" spans="1:14" ht="12" customHeight="1" x14ac:dyDescent="0.2">
      <c r="A43" s="58" t="s">
        <v>154</v>
      </c>
      <c r="B43" s="37"/>
      <c r="C43" s="37"/>
      <c r="D43" s="37"/>
      <c r="E43" s="37"/>
      <c r="F43" s="37"/>
      <c r="G43" s="37"/>
      <c r="H43" s="37"/>
      <c r="I43" s="37"/>
      <c r="J43" s="37"/>
      <c r="N43" s="45"/>
    </row>
    <row r="44" spans="1:14" ht="12" hidden="1" customHeight="1" outlineLevel="1" x14ac:dyDescent="0.2">
      <c r="A44" s="40" t="s">
        <v>79</v>
      </c>
      <c r="B44" s="51" t="s">
        <v>149</v>
      </c>
      <c r="C44" s="49">
        <v>5</v>
      </c>
      <c r="D44" s="51" t="s">
        <v>149</v>
      </c>
      <c r="E44" s="49">
        <v>6</v>
      </c>
      <c r="F44" s="49">
        <v>6</v>
      </c>
      <c r="G44" s="51" t="s">
        <v>149</v>
      </c>
      <c r="H44" s="51" t="s">
        <v>149</v>
      </c>
      <c r="I44" s="51" t="s">
        <v>149</v>
      </c>
      <c r="J44" s="51" t="s">
        <v>149</v>
      </c>
      <c r="N44" s="45"/>
    </row>
    <row r="45" spans="1:14" ht="12" hidden="1" customHeight="1" outlineLevel="1" x14ac:dyDescent="0.2">
      <c r="A45" s="40" t="s">
        <v>81</v>
      </c>
      <c r="B45" s="51" t="s">
        <v>149</v>
      </c>
      <c r="C45" s="41">
        <v>1</v>
      </c>
      <c r="D45" s="51" t="s">
        <v>149</v>
      </c>
      <c r="E45" s="41">
        <v>0</v>
      </c>
      <c r="F45" s="41">
        <v>1</v>
      </c>
      <c r="G45" s="51" t="s">
        <v>149</v>
      </c>
      <c r="H45" s="51" t="s">
        <v>149</v>
      </c>
      <c r="I45" s="51" t="s">
        <v>149</v>
      </c>
      <c r="J45" s="51" t="s">
        <v>149</v>
      </c>
      <c r="N45" s="45"/>
    </row>
    <row r="46" spans="1:14" ht="12" hidden="1" customHeight="1" outlineLevel="1" x14ac:dyDescent="0.2">
      <c r="A46" s="40" t="s">
        <v>74</v>
      </c>
      <c r="B46" s="51" t="s">
        <v>149</v>
      </c>
      <c r="C46" s="49">
        <v>0</v>
      </c>
      <c r="D46" s="51" t="s">
        <v>149</v>
      </c>
      <c r="E46" s="49">
        <v>0</v>
      </c>
      <c r="F46" s="49">
        <v>0</v>
      </c>
      <c r="G46" s="51" t="s">
        <v>149</v>
      </c>
      <c r="H46" s="51" t="s">
        <v>149</v>
      </c>
      <c r="I46" s="51" t="s">
        <v>149</v>
      </c>
      <c r="J46" s="51" t="s">
        <v>149</v>
      </c>
      <c r="N46" s="45"/>
    </row>
    <row r="47" spans="1:14" ht="12" hidden="1" customHeight="1" outlineLevel="1" x14ac:dyDescent="0.2">
      <c r="A47" s="40" t="s">
        <v>76</v>
      </c>
      <c r="B47" s="50" t="s">
        <v>149</v>
      </c>
      <c r="C47" s="60">
        <f>C45/C44</f>
        <v>0.2</v>
      </c>
      <c r="D47" s="50" t="s">
        <v>149</v>
      </c>
      <c r="E47" s="60">
        <f>E45/E44</f>
        <v>0</v>
      </c>
      <c r="F47" s="60">
        <f>F45/F44</f>
        <v>0.16666666666666666</v>
      </c>
      <c r="G47" s="50" t="s">
        <v>149</v>
      </c>
      <c r="H47" s="50" t="s">
        <v>149</v>
      </c>
      <c r="I47" s="50" t="s">
        <v>149</v>
      </c>
      <c r="J47" s="50" t="s">
        <v>149</v>
      </c>
      <c r="N47" s="45"/>
    </row>
    <row r="48" spans="1:14" ht="12" hidden="1" customHeight="1" outlineLevel="1" x14ac:dyDescent="0.2">
      <c r="A48" s="40" t="s">
        <v>42</v>
      </c>
      <c r="B48" s="41"/>
      <c r="C48" s="41"/>
      <c r="D48" s="41"/>
      <c r="E48" s="41"/>
      <c r="F48" s="41"/>
      <c r="G48" s="41"/>
      <c r="H48" s="41"/>
      <c r="I48" s="41"/>
      <c r="J48" s="41"/>
      <c r="N48" s="45"/>
    </row>
    <row r="49" spans="1:14" ht="12" customHeight="1" collapsed="1" x14ac:dyDescent="0.2">
      <c r="A49" s="53"/>
      <c r="B49" s="54"/>
      <c r="C49" s="54"/>
      <c r="D49" s="54"/>
      <c r="E49" s="54"/>
      <c r="F49" s="54"/>
      <c r="G49" s="54"/>
      <c r="H49" s="54"/>
      <c r="I49" s="54"/>
      <c r="J49" s="54"/>
      <c r="N49" s="45"/>
    </row>
    <row r="50" spans="1:14" ht="12" customHeight="1" x14ac:dyDescent="0.2">
      <c r="A50" s="58" t="s">
        <v>155</v>
      </c>
      <c r="B50" s="37"/>
      <c r="C50" s="37"/>
      <c r="D50" s="37"/>
      <c r="E50" s="37"/>
      <c r="F50" s="37"/>
      <c r="G50" s="37"/>
      <c r="H50" s="37"/>
      <c r="I50" s="37"/>
      <c r="J50" s="37"/>
      <c r="N50" s="42">
        <v>3</v>
      </c>
    </row>
    <row r="51" spans="1:14" ht="12" customHeight="1" x14ac:dyDescent="0.2">
      <c r="A51" s="40" t="s">
        <v>86</v>
      </c>
      <c r="B51" s="41">
        <v>1</v>
      </c>
      <c r="C51" s="41">
        <v>0</v>
      </c>
      <c r="D51" s="41">
        <v>0</v>
      </c>
      <c r="E51" s="41">
        <v>0</v>
      </c>
      <c r="F51" s="41">
        <v>2</v>
      </c>
      <c r="G51" s="41">
        <v>0</v>
      </c>
      <c r="H51" s="41">
        <v>0</v>
      </c>
      <c r="I51" s="41">
        <v>0</v>
      </c>
      <c r="J51" s="41">
        <v>2</v>
      </c>
      <c r="N51" s="45"/>
    </row>
    <row r="52" spans="1:14" ht="12" customHeight="1" x14ac:dyDescent="0.2">
      <c r="A52" s="40" t="s">
        <v>88</v>
      </c>
      <c r="B52" s="41">
        <v>2</v>
      </c>
      <c r="C52" s="41">
        <v>0</v>
      </c>
      <c r="D52" s="41">
        <v>8</v>
      </c>
      <c r="E52" s="41">
        <v>6</v>
      </c>
      <c r="F52" s="41">
        <v>7</v>
      </c>
      <c r="G52" s="41">
        <v>8</v>
      </c>
      <c r="H52" s="41">
        <v>5</v>
      </c>
      <c r="I52" s="41">
        <v>3</v>
      </c>
      <c r="J52" s="41">
        <v>1</v>
      </c>
      <c r="N52" s="45"/>
    </row>
    <row r="53" spans="1:14" ht="12" customHeight="1" x14ac:dyDescent="0.2">
      <c r="A53" s="40" t="s">
        <v>90</v>
      </c>
      <c r="B53" s="41">
        <v>18</v>
      </c>
      <c r="C53" s="41">
        <v>0</v>
      </c>
      <c r="D53" s="41">
        <v>2</v>
      </c>
      <c r="E53" s="41">
        <v>7</v>
      </c>
      <c r="F53" s="41">
        <v>2</v>
      </c>
      <c r="G53" s="41">
        <v>2</v>
      </c>
      <c r="H53" s="41">
        <v>3</v>
      </c>
      <c r="I53" s="41">
        <v>2</v>
      </c>
      <c r="J53" s="41">
        <v>5</v>
      </c>
      <c r="N53" s="45"/>
    </row>
    <row r="54" spans="1:14" ht="12" customHeight="1" x14ac:dyDescent="0.2">
      <c r="A54" s="40" t="s">
        <v>92</v>
      </c>
      <c r="B54" s="41">
        <v>26</v>
      </c>
      <c r="C54" s="41">
        <v>0</v>
      </c>
      <c r="D54" s="41">
        <v>9</v>
      </c>
      <c r="E54" s="41">
        <v>6</v>
      </c>
      <c r="F54" s="41">
        <v>7</v>
      </c>
      <c r="G54" s="41">
        <v>4</v>
      </c>
      <c r="H54" s="41">
        <v>7</v>
      </c>
      <c r="I54" s="41">
        <v>6</v>
      </c>
      <c r="J54" s="41">
        <v>15</v>
      </c>
      <c r="N54" s="45"/>
    </row>
    <row r="55" spans="1:14" ht="12" customHeight="1" x14ac:dyDescent="0.2">
      <c r="A55" s="40" t="s">
        <v>94</v>
      </c>
      <c r="B55" s="41">
        <v>5</v>
      </c>
      <c r="C55" s="41">
        <v>8</v>
      </c>
      <c r="D55" s="41">
        <v>8</v>
      </c>
      <c r="E55" s="41">
        <v>0</v>
      </c>
      <c r="F55" s="41">
        <v>4</v>
      </c>
      <c r="G55" s="41">
        <v>2</v>
      </c>
      <c r="H55" s="41">
        <v>8</v>
      </c>
      <c r="I55" s="41">
        <v>2</v>
      </c>
      <c r="J55" s="41">
        <v>40</v>
      </c>
      <c r="N55" s="45"/>
    </row>
    <row r="56" spans="1:14" ht="12" customHeight="1" x14ac:dyDescent="0.2">
      <c r="A56" s="40" t="s">
        <v>59</v>
      </c>
      <c r="B56" s="49">
        <f t="shared" ref="B56:J56" si="2">SUM(B51:B55)</f>
        <v>52</v>
      </c>
      <c r="C56" s="49">
        <f t="shared" si="2"/>
        <v>8</v>
      </c>
      <c r="D56" s="49">
        <f t="shared" si="2"/>
        <v>27</v>
      </c>
      <c r="E56" s="49">
        <f t="shared" si="2"/>
        <v>19</v>
      </c>
      <c r="F56" s="49">
        <f t="shared" si="2"/>
        <v>22</v>
      </c>
      <c r="G56" s="49">
        <f t="shared" si="2"/>
        <v>16</v>
      </c>
      <c r="H56" s="49">
        <f t="shared" si="2"/>
        <v>23</v>
      </c>
      <c r="I56" s="49">
        <f t="shared" si="2"/>
        <v>13</v>
      </c>
      <c r="J56" s="49">
        <f t="shared" si="2"/>
        <v>63</v>
      </c>
      <c r="N56" s="45"/>
    </row>
    <row r="57" spans="1:14" ht="12" customHeight="1" x14ac:dyDescent="0.2">
      <c r="A57" s="40" t="s">
        <v>42</v>
      </c>
      <c r="B57" s="41"/>
      <c r="C57" s="41"/>
      <c r="D57" s="41"/>
      <c r="E57" s="41"/>
      <c r="F57" s="41"/>
      <c r="G57" s="41"/>
      <c r="H57" s="41"/>
      <c r="I57" s="41"/>
      <c r="J57" s="41"/>
      <c r="N57" s="45"/>
    </row>
    <row r="58" spans="1:14" ht="12" customHeight="1" x14ac:dyDescent="0.2">
      <c r="A58" s="61"/>
      <c r="B58" s="61"/>
      <c r="C58" s="61"/>
      <c r="D58" s="61"/>
      <c r="E58" s="61"/>
      <c r="F58" s="61"/>
      <c r="G58" s="61"/>
      <c r="H58" s="61"/>
      <c r="I58" s="61"/>
      <c r="J58" s="61"/>
      <c r="N58" s="45"/>
    </row>
    <row r="59" spans="1:14" ht="12" customHeight="1" x14ac:dyDescent="0.2">
      <c r="A59" s="61"/>
      <c r="B59" s="61"/>
      <c r="C59" s="61"/>
      <c r="D59" s="61"/>
      <c r="E59" s="61"/>
      <c r="F59" s="61"/>
      <c r="G59" s="61"/>
      <c r="H59" s="61"/>
      <c r="I59" s="61"/>
      <c r="J59" s="61"/>
      <c r="N59" s="42">
        <v>3</v>
      </c>
    </row>
    <row r="60" spans="1:14" ht="12" customHeight="1" x14ac:dyDescent="0.2">
      <c r="A60" s="61"/>
      <c r="B60" s="61"/>
      <c r="C60" s="61"/>
      <c r="D60" s="61"/>
      <c r="E60" s="61"/>
      <c r="F60" s="61"/>
      <c r="G60" s="61"/>
      <c r="H60" s="61"/>
      <c r="I60" s="61"/>
      <c r="J60" s="61"/>
      <c r="N60" s="45"/>
    </row>
    <row r="61" spans="1:14" ht="12" customHeight="1" x14ac:dyDescent="0.2">
      <c r="A61" s="61"/>
      <c r="B61" s="61"/>
      <c r="C61" s="61"/>
      <c r="D61" s="61"/>
      <c r="E61" s="61"/>
      <c r="F61" s="61"/>
      <c r="G61" s="61"/>
      <c r="H61" s="61"/>
      <c r="I61" s="61"/>
      <c r="J61" s="61"/>
      <c r="N61" s="45"/>
    </row>
    <row r="62" spans="1:14" ht="12" customHeight="1" x14ac:dyDescent="0.2">
      <c r="A62" s="61"/>
      <c r="B62" s="61"/>
      <c r="C62" s="61"/>
      <c r="D62" s="61"/>
      <c r="E62" s="61"/>
      <c r="F62" s="61"/>
      <c r="G62" s="61"/>
      <c r="H62" s="61"/>
      <c r="I62" s="61"/>
      <c r="J62" s="61"/>
      <c r="N62" s="45"/>
    </row>
    <row r="63" spans="1:14" ht="12" customHeight="1" x14ac:dyDescent="0.2">
      <c r="A63" s="61"/>
      <c r="B63" s="61"/>
      <c r="C63" s="61"/>
      <c r="D63" s="61"/>
      <c r="E63" s="61"/>
      <c r="F63" s="61"/>
      <c r="G63" s="61"/>
      <c r="H63" s="61"/>
      <c r="I63" s="61"/>
      <c r="J63" s="61"/>
      <c r="N63" s="45"/>
    </row>
    <row r="64" spans="1:14" ht="12" customHeight="1" x14ac:dyDescent="0.2">
      <c r="A64" s="61"/>
      <c r="B64" s="61"/>
      <c r="C64" s="61"/>
      <c r="D64" s="61"/>
      <c r="E64" s="61"/>
      <c r="F64" s="61"/>
      <c r="G64" s="61"/>
      <c r="H64" s="61"/>
      <c r="I64" s="61"/>
      <c r="J64" s="61"/>
      <c r="N64" s="45"/>
    </row>
    <row r="65" spans="1:14" ht="12" customHeight="1" x14ac:dyDescent="0.2">
      <c r="A65" s="61"/>
      <c r="B65" s="61"/>
      <c r="C65" s="61"/>
      <c r="D65" s="61"/>
      <c r="E65" s="61"/>
      <c r="F65" s="61"/>
      <c r="G65" s="61"/>
      <c r="H65" s="61"/>
      <c r="I65" s="61"/>
      <c r="J65" s="61"/>
      <c r="N65" s="45"/>
    </row>
    <row r="66" spans="1:14" ht="12" customHeight="1" x14ac:dyDescent="0.2">
      <c r="A66" s="61"/>
      <c r="B66" s="61"/>
      <c r="C66" s="61"/>
      <c r="D66" s="61"/>
      <c r="E66" s="61"/>
      <c r="F66" s="61"/>
      <c r="G66" s="61"/>
      <c r="H66" s="61"/>
      <c r="I66" s="61"/>
      <c r="J66" s="61"/>
      <c r="N66" s="45"/>
    </row>
    <row r="67" spans="1:14" ht="12" customHeight="1" x14ac:dyDescent="0.2">
      <c r="A67" s="61"/>
      <c r="B67" s="61"/>
      <c r="C67" s="61"/>
      <c r="D67" s="61"/>
      <c r="E67" s="61"/>
      <c r="F67" s="61"/>
      <c r="G67" s="61"/>
      <c r="H67" s="61"/>
      <c r="I67" s="61"/>
      <c r="J67" s="61"/>
      <c r="N67" s="45"/>
    </row>
    <row r="68" spans="1:14" ht="12" customHeight="1" x14ac:dyDescent="0.2">
      <c r="A68" s="61"/>
      <c r="B68" s="61"/>
      <c r="C68" s="61"/>
      <c r="D68" s="61"/>
      <c r="E68" s="61"/>
      <c r="F68" s="61"/>
      <c r="G68" s="61"/>
      <c r="H68" s="61"/>
      <c r="I68" s="61"/>
      <c r="J68" s="61"/>
      <c r="N68" s="45"/>
    </row>
    <row r="69" spans="1:14" ht="12" customHeight="1" x14ac:dyDescent="0.2">
      <c r="A69" s="61"/>
      <c r="B69" s="61"/>
      <c r="C69" s="61"/>
      <c r="D69" s="61"/>
      <c r="E69" s="61"/>
      <c r="F69" s="61"/>
      <c r="G69" s="61"/>
      <c r="H69" s="61"/>
      <c r="I69" s="61"/>
      <c r="J69" s="61"/>
      <c r="N69" s="45"/>
    </row>
    <row r="70" spans="1:14" ht="12" customHeight="1" x14ac:dyDescent="0.2">
      <c r="A70" s="61"/>
      <c r="B70" s="61"/>
      <c r="C70" s="61"/>
      <c r="D70" s="61"/>
      <c r="E70" s="61"/>
      <c r="F70" s="61"/>
      <c r="G70" s="61"/>
      <c r="H70" s="61"/>
      <c r="I70" s="61"/>
      <c r="J70" s="61"/>
      <c r="N70" s="45"/>
    </row>
    <row r="71" spans="1:14" ht="12" customHeight="1" x14ac:dyDescent="0.2">
      <c r="A71" s="61"/>
      <c r="B71" s="61"/>
      <c r="C71" s="61"/>
      <c r="D71" s="61"/>
      <c r="E71" s="61"/>
      <c r="F71" s="61"/>
      <c r="G71" s="61"/>
      <c r="H71" s="61"/>
      <c r="I71" s="61"/>
      <c r="J71" s="61"/>
      <c r="N71" s="45"/>
    </row>
    <row r="72" spans="1:14" ht="12" customHeight="1" x14ac:dyDescent="0.2">
      <c r="A72" s="61"/>
      <c r="B72" s="61"/>
      <c r="C72" s="61"/>
      <c r="D72" s="61"/>
      <c r="E72" s="61"/>
      <c r="F72" s="61"/>
      <c r="G72" s="61"/>
      <c r="H72" s="61"/>
      <c r="I72" s="61"/>
      <c r="J72" s="61"/>
      <c r="N72" s="45"/>
    </row>
    <row r="73" spans="1:14" ht="12" customHeight="1" x14ac:dyDescent="0.2">
      <c r="A73" s="61"/>
      <c r="B73" s="61"/>
      <c r="C73" s="61"/>
      <c r="D73" s="61"/>
      <c r="E73" s="61"/>
      <c r="F73" s="61"/>
      <c r="G73" s="61"/>
      <c r="H73" s="61"/>
      <c r="I73" s="61"/>
      <c r="J73" s="61"/>
      <c r="N73" s="45"/>
    </row>
    <row r="74" spans="1:14" ht="12" customHeight="1" x14ac:dyDescent="0.2">
      <c r="A74" s="61"/>
      <c r="B74" s="61"/>
      <c r="C74" s="61"/>
      <c r="D74" s="61"/>
      <c r="E74" s="61"/>
      <c r="F74" s="61"/>
      <c r="G74" s="61"/>
      <c r="H74" s="61"/>
      <c r="I74" s="61"/>
      <c r="J74" s="61"/>
      <c r="N74" s="42">
        <v>3</v>
      </c>
    </row>
    <row r="75" spans="1:14" ht="12" customHeight="1" x14ac:dyDescent="0.2">
      <c r="A75" s="61"/>
      <c r="B75" s="61"/>
      <c r="C75" s="61"/>
      <c r="D75" s="61"/>
      <c r="E75" s="61"/>
      <c r="F75" s="61"/>
      <c r="G75" s="61"/>
      <c r="H75" s="61"/>
      <c r="I75" s="61"/>
      <c r="J75" s="61"/>
      <c r="N75" s="45"/>
    </row>
    <row r="76" spans="1:14" ht="12" customHeight="1" x14ac:dyDescent="0.2">
      <c r="A76" s="61"/>
      <c r="B76" s="61"/>
      <c r="C76" s="61"/>
      <c r="D76" s="61"/>
      <c r="E76" s="61"/>
      <c r="F76" s="61"/>
      <c r="G76" s="61"/>
      <c r="H76" s="61"/>
      <c r="I76" s="61"/>
      <c r="J76" s="61"/>
      <c r="N76" s="45"/>
    </row>
    <row r="77" spans="1:14" ht="12" customHeight="1" x14ac:dyDescent="0.2">
      <c r="A77" s="61"/>
      <c r="B77" s="61"/>
      <c r="C77" s="61"/>
      <c r="D77" s="61"/>
      <c r="E77" s="61"/>
      <c r="F77" s="61"/>
      <c r="G77" s="61"/>
      <c r="H77" s="61"/>
      <c r="I77" s="61"/>
      <c r="J77" s="61"/>
      <c r="N77" s="45"/>
    </row>
    <row r="78" spans="1:14" ht="12" customHeight="1" x14ac:dyDescent="0.2">
      <c r="A78" s="61"/>
      <c r="B78" s="61"/>
      <c r="C78" s="61"/>
      <c r="D78" s="61"/>
      <c r="E78" s="61"/>
      <c r="F78" s="61"/>
      <c r="G78" s="61"/>
      <c r="H78" s="61"/>
      <c r="I78" s="61"/>
      <c r="J78" s="61"/>
      <c r="N78" s="45"/>
    </row>
    <row r="79" spans="1:14" ht="12" customHeight="1" x14ac:dyDescent="0.2">
      <c r="A79" s="61"/>
      <c r="B79" s="61"/>
      <c r="C79" s="61"/>
      <c r="D79" s="61"/>
      <c r="E79" s="61"/>
      <c r="F79" s="61"/>
      <c r="G79" s="61"/>
      <c r="H79" s="61"/>
      <c r="I79" s="61"/>
      <c r="J79" s="61"/>
      <c r="N79" s="45"/>
    </row>
    <row r="80" spans="1:14" ht="12" customHeight="1" x14ac:dyDescent="0.2">
      <c r="A80" s="61"/>
      <c r="B80" s="61"/>
      <c r="C80" s="61"/>
      <c r="D80" s="61"/>
      <c r="E80" s="61"/>
      <c r="F80" s="61"/>
      <c r="G80" s="61"/>
      <c r="H80" s="61"/>
      <c r="I80" s="61"/>
      <c r="J80" s="61"/>
      <c r="N80" s="45"/>
    </row>
    <row r="81" spans="1:14" ht="12" customHeight="1" x14ac:dyDescent="0.2">
      <c r="A81" s="61"/>
      <c r="B81" s="61"/>
      <c r="C81" s="61"/>
      <c r="D81" s="61"/>
      <c r="E81" s="61"/>
      <c r="F81" s="61"/>
      <c r="G81" s="61"/>
      <c r="H81" s="61"/>
      <c r="I81" s="61"/>
      <c r="J81" s="61"/>
      <c r="N81" s="45"/>
    </row>
    <row r="82" spans="1:14" ht="12" customHeight="1" x14ac:dyDescent="0.2">
      <c r="A82" s="61"/>
      <c r="B82" s="61"/>
      <c r="C82" s="61"/>
      <c r="D82" s="61"/>
      <c r="E82" s="61"/>
      <c r="F82" s="61"/>
      <c r="G82" s="61"/>
      <c r="H82" s="61"/>
      <c r="I82" s="61"/>
      <c r="J82" s="61"/>
      <c r="N82" s="45"/>
    </row>
    <row r="83" spans="1:14" ht="12" customHeight="1" x14ac:dyDescent="0.2">
      <c r="A83" s="61"/>
      <c r="B83" s="61"/>
      <c r="C83" s="61"/>
      <c r="D83" s="61"/>
      <c r="E83" s="61"/>
      <c r="F83" s="61"/>
      <c r="G83" s="61"/>
      <c r="H83" s="61"/>
      <c r="I83" s="61"/>
      <c r="J83" s="61"/>
      <c r="N83" s="45"/>
    </row>
    <row r="84" spans="1:14" ht="12" customHeight="1" x14ac:dyDescent="0.2">
      <c r="A84" s="61"/>
      <c r="B84" s="61"/>
      <c r="C84" s="61"/>
      <c r="D84" s="61"/>
      <c r="E84" s="61"/>
      <c r="F84" s="61"/>
      <c r="G84" s="61"/>
      <c r="H84" s="61"/>
      <c r="I84" s="61"/>
      <c r="J84" s="61"/>
      <c r="N84" s="45"/>
    </row>
    <row r="85" spans="1:14" ht="12" customHeight="1" x14ac:dyDescent="0.2">
      <c r="A85" s="61"/>
      <c r="B85" s="61"/>
      <c r="C85" s="61"/>
      <c r="D85" s="61"/>
      <c r="E85" s="61"/>
      <c r="F85" s="61"/>
      <c r="G85" s="61"/>
      <c r="H85" s="61"/>
      <c r="I85" s="61"/>
      <c r="J85" s="61"/>
      <c r="N85" s="45"/>
    </row>
    <row r="86" spans="1:14" ht="12" customHeight="1" x14ac:dyDescent="0.2">
      <c r="A86" s="61"/>
      <c r="B86" s="61"/>
      <c r="C86" s="61"/>
      <c r="D86" s="61"/>
      <c r="E86" s="61"/>
      <c r="F86" s="61"/>
      <c r="G86" s="61"/>
      <c r="H86" s="61"/>
      <c r="I86" s="61"/>
      <c r="J86" s="61"/>
      <c r="N86" s="45"/>
    </row>
    <row r="87" spans="1:14" ht="12" customHeight="1" x14ac:dyDescent="0.2">
      <c r="A87" s="61"/>
      <c r="B87" s="61"/>
      <c r="C87" s="61"/>
      <c r="D87" s="61"/>
      <c r="E87" s="61"/>
      <c r="F87" s="61"/>
      <c r="G87" s="61"/>
      <c r="H87" s="61"/>
      <c r="I87" s="61"/>
      <c r="J87" s="61"/>
      <c r="N87" s="45"/>
    </row>
    <row r="88" spans="1:14" ht="12" customHeight="1" x14ac:dyDescent="0.2">
      <c r="A88" s="61"/>
      <c r="B88" s="61"/>
      <c r="C88" s="61"/>
      <c r="D88" s="61"/>
      <c r="E88" s="61"/>
      <c r="F88" s="61"/>
      <c r="G88" s="61"/>
      <c r="H88" s="61"/>
      <c r="I88" s="61"/>
      <c r="J88" s="61"/>
      <c r="N88" s="45"/>
    </row>
    <row r="89" spans="1:14" ht="12" customHeight="1" x14ac:dyDescent="0.2">
      <c r="A89" s="61"/>
      <c r="B89" s="61"/>
      <c r="C89" s="61"/>
      <c r="D89" s="61"/>
      <c r="E89" s="61"/>
      <c r="F89" s="61"/>
      <c r="G89" s="61"/>
      <c r="H89" s="61"/>
      <c r="I89" s="61"/>
      <c r="J89" s="61"/>
      <c r="N89" s="45"/>
    </row>
    <row r="90" spans="1:14" ht="12" customHeight="1" x14ac:dyDescent="0.2">
      <c r="A90" s="61"/>
      <c r="B90" s="61"/>
      <c r="C90" s="61"/>
      <c r="D90" s="61"/>
      <c r="E90" s="61"/>
      <c r="F90" s="61"/>
      <c r="G90" s="61"/>
      <c r="H90" s="61"/>
      <c r="I90" s="61"/>
      <c r="J90" s="61"/>
      <c r="N90" s="45"/>
    </row>
    <row r="91" spans="1:14" ht="12" customHeight="1" x14ac:dyDescent="0.2">
      <c r="A91" s="61"/>
      <c r="B91" s="61"/>
      <c r="C91" s="61"/>
      <c r="D91" s="61"/>
      <c r="E91" s="61"/>
      <c r="F91" s="61"/>
      <c r="G91" s="61"/>
      <c r="H91" s="61"/>
      <c r="I91" s="61"/>
      <c r="J91" s="61"/>
      <c r="N91" s="45"/>
    </row>
    <row r="92" spans="1:14" ht="12" customHeight="1" outlineLevel="1" x14ac:dyDescent="0.2">
      <c r="A92" s="61"/>
      <c r="B92" s="61"/>
      <c r="C92" s="61"/>
      <c r="D92" s="61"/>
      <c r="E92" s="61"/>
      <c r="F92" s="61"/>
      <c r="G92" s="61"/>
      <c r="H92" s="61"/>
      <c r="I92" s="61"/>
      <c r="J92" s="61"/>
      <c r="N92" s="45"/>
    </row>
    <row r="93" spans="1:14" ht="12" customHeight="1" outlineLevel="1" x14ac:dyDescent="0.2">
      <c r="A93" s="61"/>
      <c r="B93" s="61"/>
      <c r="C93" s="61"/>
      <c r="D93" s="61"/>
      <c r="E93" s="61"/>
      <c r="F93" s="61"/>
      <c r="G93" s="61"/>
      <c r="H93" s="61"/>
      <c r="I93" s="61"/>
      <c r="J93" s="61"/>
    </row>
    <row r="94" spans="1:14" ht="12" customHeight="1" outlineLevel="1" x14ac:dyDescent="0.2">
      <c r="A94" s="61"/>
      <c r="B94" s="61"/>
      <c r="C94" s="61"/>
      <c r="D94" s="61"/>
      <c r="E94" s="61"/>
      <c r="F94" s="61"/>
      <c r="G94" s="61"/>
      <c r="H94" s="61"/>
      <c r="I94" s="61"/>
      <c r="J94" s="61"/>
    </row>
    <row r="95" spans="1:14" ht="12" customHeight="1" outlineLevel="1" x14ac:dyDescent="0.2">
      <c r="A95" s="61"/>
      <c r="B95" s="61"/>
      <c r="C95" s="61"/>
      <c r="D95" s="61"/>
      <c r="E95" s="61"/>
      <c r="F95" s="61"/>
      <c r="G95" s="61"/>
      <c r="H95" s="61"/>
      <c r="I95" s="61"/>
      <c r="J95" s="61"/>
    </row>
    <row r="96" spans="1:14" ht="12" customHeight="1" outlineLevel="1" x14ac:dyDescent="0.2">
      <c r="A96" s="61"/>
      <c r="B96" s="61"/>
      <c r="C96" s="61"/>
      <c r="D96" s="61"/>
      <c r="E96" s="61"/>
      <c r="F96" s="61"/>
      <c r="G96" s="61"/>
      <c r="H96" s="61"/>
      <c r="I96" s="61"/>
      <c r="J96" s="61"/>
    </row>
    <row r="97" spans="1:10" ht="12" customHeight="1" outlineLevel="1" x14ac:dyDescent="0.2">
      <c r="A97" s="61"/>
      <c r="B97" s="61"/>
      <c r="C97" s="61"/>
      <c r="D97" s="61"/>
      <c r="E97" s="61"/>
      <c r="F97" s="61"/>
      <c r="G97" s="61"/>
      <c r="H97" s="61"/>
      <c r="I97" s="61"/>
      <c r="J97" s="61"/>
    </row>
    <row r="98" spans="1:10" ht="12" customHeight="1" outlineLevel="1" x14ac:dyDescent="0.2">
      <c r="A98" s="61"/>
      <c r="B98" s="61"/>
      <c r="C98" s="61"/>
      <c r="D98" s="61"/>
      <c r="E98" s="61"/>
      <c r="F98" s="61"/>
      <c r="G98" s="61"/>
      <c r="H98" s="61"/>
      <c r="I98" s="61"/>
      <c r="J98" s="61"/>
    </row>
    <row r="99" spans="1:10" ht="12" customHeight="1" outlineLevel="1" x14ac:dyDescent="0.2">
      <c r="A99" s="61"/>
      <c r="B99" s="61"/>
      <c r="C99" s="61"/>
      <c r="D99" s="61"/>
      <c r="E99" s="61"/>
      <c r="F99" s="61"/>
      <c r="G99" s="61"/>
      <c r="H99" s="61"/>
      <c r="I99" s="61"/>
      <c r="J99" s="61"/>
    </row>
    <row r="100" spans="1:10" ht="12" customHeight="1" outlineLevel="1" x14ac:dyDescent="0.2">
      <c r="A100" s="61"/>
      <c r="B100" s="61"/>
      <c r="C100" s="61"/>
      <c r="D100" s="61"/>
      <c r="E100" s="61"/>
      <c r="F100" s="61"/>
      <c r="G100" s="61"/>
      <c r="H100" s="61"/>
      <c r="I100" s="61"/>
      <c r="J100" s="61"/>
    </row>
    <row r="101" spans="1:10" ht="12" customHeight="1" outlineLevel="1" x14ac:dyDescent="0.2">
      <c r="A101" s="61"/>
      <c r="B101" s="61"/>
      <c r="C101" s="61"/>
      <c r="D101" s="61"/>
      <c r="E101" s="61"/>
      <c r="F101" s="61"/>
      <c r="G101" s="61"/>
      <c r="H101" s="61"/>
      <c r="I101" s="61"/>
      <c r="J101" s="61"/>
    </row>
    <row r="102" spans="1:10" ht="12" customHeight="1" outlineLevel="1" x14ac:dyDescent="0.2">
      <c r="A102" s="61"/>
      <c r="B102" s="61"/>
      <c r="C102" s="61"/>
      <c r="D102" s="61"/>
      <c r="E102" s="61"/>
      <c r="F102" s="61"/>
      <c r="G102" s="61"/>
      <c r="H102" s="61"/>
      <c r="I102" s="61"/>
      <c r="J102" s="61"/>
    </row>
    <row r="103" spans="1:10" ht="12" customHeight="1" outlineLevel="1" x14ac:dyDescent="0.2">
      <c r="A103" s="61"/>
      <c r="B103" s="61"/>
      <c r="C103" s="61"/>
      <c r="D103" s="61"/>
      <c r="E103" s="61"/>
      <c r="F103" s="61"/>
      <c r="G103" s="61"/>
      <c r="H103" s="61"/>
      <c r="I103" s="61"/>
      <c r="J103" s="61"/>
    </row>
    <row r="104" spans="1:10" ht="12" customHeight="1" outlineLevel="1" x14ac:dyDescent="0.2">
      <c r="A104" s="61"/>
      <c r="B104" s="61"/>
      <c r="C104" s="61"/>
      <c r="D104" s="61"/>
      <c r="E104" s="61"/>
      <c r="F104" s="61"/>
      <c r="G104" s="61"/>
      <c r="H104" s="61"/>
      <c r="I104" s="61"/>
      <c r="J104" s="61"/>
    </row>
    <row r="105" spans="1:10" ht="12" customHeight="1" outlineLevel="1" x14ac:dyDescent="0.2">
      <c r="A105" s="61"/>
      <c r="B105" s="61"/>
      <c r="C105" s="61"/>
      <c r="D105" s="61"/>
      <c r="E105" s="61"/>
      <c r="F105" s="61"/>
      <c r="G105" s="61"/>
      <c r="H105" s="61"/>
      <c r="I105" s="61"/>
      <c r="J105" s="61"/>
    </row>
    <row r="106" spans="1:10" ht="12" customHeight="1" outlineLevel="1" x14ac:dyDescent="0.2">
      <c r="A106" s="61"/>
      <c r="B106" s="61"/>
      <c r="C106" s="61"/>
      <c r="D106" s="61"/>
      <c r="E106" s="61"/>
      <c r="F106" s="61"/>
      <c r="G106" s="61"/>
      <c r="H106" s="61"/>
      <c r="I106" s="61"/>
      <c r="J106" s="61"/>
    </row>
    <row r="107" spans="1:10" ht="12" customHeight="1" outlineLevel="1" x14ac:dyDescent="0.2">
      <c r="A107" s="61"/>
      <c r="B107" s="61"/>
      <c r="C107" s="61"/>
      <c r="D107" s="61"/>
      <c r="E107" s="61"/>
      <c r="F107" s="61"/>
      <c r="G107" s="61"/>
      <c r="H107" s="61"/>
      <c r="I107" s="61"/>
      <c r="J107" s="61"/>
    </row>
    <row r="108" spans="1:10" ht="12" customHeight="1" outlineLevel="1" x14ac:dyDescent="0.2">
      <c r="A108" s="61"/>
      <c r="B108" s="61"/>
      <c r="C108" s="61"/>
      <c r="D108" s="61"/>
      <c r="E108" s="61"/>
      <c r="F108" s="61"/>
      <c r="G108" s="61"/>
      <c r="H108" s="61"/>
      <c r="I108" s="61"/>
      <c r="J108" s="61"/>
    </row>
    <row r="109" spans="1:10" ht="12" customHeight="1" outlineLevel="1" x14ac:dyDescent="0.2">
      <c r="A109" s="61"/>
      <c r="B109" s="61"/>
      <c r="C109" s="61"/>
      <c r="D109" s="61"/>
      <c r="E109" s="61"/>
      <c r="F109" s="61"/>
      <c r="G109" s="61"/>
      <c r="H109" s="61"/>
      <c r="I109" s="61"/>
      <c r="J109" s="61"/>
    </row>
  </sheetData>
  <conditionalFormatting sqref="A10:M10">
    <cfRule type="cellIs" dxfId="63" priority="4" operator="equal">
      <formula>"Acceptable"</formula>
    </cfRule>
    <cfRule type="cellIs" dxfId="62" priority="5" operator="equal">
      <formula>"Not Acceptable"</formula>
    </cfRule>
    <cfRule type="cellIs" dxfId="61" priority="6" operator="equal">
      <formula>"Low"</formula>
    </cfRule>
    <cfRule type="cellIs" dxfId="60" priority="7" operator="equal">
      <formula>"Below Medium"</formula>
    </cfRule>
    <cfRule type="cellIs" dxfId="59" priority="8" operator="equal">
      <formula>"Medium"</formula>
    </cfRule>
    <cfRule type="cellIs" dxfId="58" priority="9" operator="equal">
      <formula>"Above Medium"</formula>
    </cfRule>
    <cfRule type="cellIs" dxfId="57" priority="10" operator="equal">
      <formula>"High"</formula>
    </cfRule>
  </conditionalFormatting>
  <conditionalFormatting sqref="N3:N9 N11:N74">
    <cfRule type="iconSet" priority="2">
      <iconSet iconSet="3Symbols2" showValue="0">
        <cfvo type="percent" val="0"/>
        <cfvo type="num" val="2"/>
        <cfvo type="num" val="3"/>
      </iconSet>
    </cfRule>
  </conditionalFormatting>
  <conditionalFormatting sqref="N10">
    <cfRule type="iconSet" priority="3">
      <iconSet iconSet="3Symbols2" showValue="0">
        <cfvo type="percent" val="0"/>
        <cfvo type="num" val="2"/>
        <cfvo type="num" val="3"/>
      </iconSet>
    </cfRule>
  </conditionalFormatting>
  <dataValidations count="5">
    <dataValidation type="list" allowBlank="1" showInputMessage="1" showErrorMessage="1" sqref="B8:J8" xr:uid="{00000000-0002-0000-0100-000000000000}">
      <formula1>Browser_list</formula1>
      <formula2>0</formula2>
    </dataValidation>
    <dataValidation type="list" allowBlank="1" showInputMessage="1" showErrorMessage="1" sqref="B4:J4" xr:uid="{00000000-0002-0000-0100-000001000000}">
      <formula1>Test_types</formula1>
      <formula2>0</formula2>
    </dataValidation>
    <dataValidation type="list" allowBlank="1" showInputMessage="1" showErrorMessage="1" sqref="B10:J10" xr:uid="{00000000-0002-0000-0100-000002000000}">
      <formula1>Quality_range</formula1>
      <formula2>0</formula2>
    </dataValidation>
    <dataValidation type="list" allowBlank="1" showInputMessage="1" showErrorMessage="1" sqref="B7:J7" xr:uid="{00000000-0002-0000-0100-000003000000}">
      <formula1>Environment_OS</formula1>
      <formula2>0</formula2>
    </dataValidation>
    <dataValidation type="list" allowBlank="1" showInputMessage="1" showErrorMessage="1" sqref="B6:J6" xr:uid="{00000000-0002-0000-0100-000004000000}">
      <formula1>Test_Team</formula1>
      <formula2>0</formula2>
    </dataValidation>
  </dataValidations>
  <pageMargins left="0.7" right="0.7" top="0.75" bottom="0.75" header="0.51180555555555496" footer="0.51180555555555496"/>
  <pageSetup paperSize="9" firstPageNumber="0" orientation="portrait" horizontalDpi="300" verticalDpi="30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0CDCD-50D1-4078-A8E2-928C13E09CBD}">
  <dimension ref="A1:H287"/>
  <sheetViews>
    <sheetView tabSelected="1" topLeftCell="A82" workbookViewId="0">
      <selection activeCell="C80" sqref="C80"/>
    </sheetView>
  </sheetViews>
  <sheetFormatPr defaultRowHeight="12.75" outlineLevelCol="1" x14ac:dyDescent="0.2"/>
  <cols>
    <col min="1" max="1" width="17.7109375" style="35" customWidth="1" outlineLevel="1"/>
    <col min="2" max="2" width="24.7109375" style="35" customWidth="1"/>
    <col min="3" max="3" width="70.140625" style="62" customWidth="1"/>
    <col min="4" max="4" width="47.140625" style="35" customWidth="1"/>
    <col min="5" max="5" width="16.7109375" style="35" customWidth="1"/>
    <col min="6" max="7" width="16.7109375" style="35" customWidth="1" outlineLevel="1"/>
    <col min="8" max="8" width="66.85546875" style="35" customWidth="1" outlineLevel="1"/>
  </cols>
  <sheetData>
    <row r="1" spans="1:8" x14ac:dyDescent="0.2">
      <c r="A1" s="118" t="s">
        <v>206</v>
      </c>
      <c r="B1" s="118"/>
      <c r="C1" s="118" t="s">
        <v>156</v>
      </c>
      <c r="D1" s="10" t="s">
        <v>125</v>
      </c>
      <c r="E1" s="123" t="s">
        <v>157</v>
      </c>
      <c r="F1" s="123"/>
      <c r="G1" s="123"/>
      <c r="H1" s="123"/>
    </row>
    <row r="2" spans="1:8" x14ac:dyDescent="0.2">
      <c r="A2" s="118"/>
      <c r="B2" s="118"/>
      <c r="C2" s="118"/>
      <c r="D2" s="10" t="s">
        <v>8</v>
      </c>
      <c r="E2" s="123" t="s">
        <v>205</v>
      </c>
      <c r="F2" s="123"/>
      <c r="G2" s="123"/>
      <c r="H2" s="123"/>
    </row>
    <row r="3" spans="1:8" x14ac:dyDescent="0.2">
      <c r="A3" s="118"/>
      <c r="B3" s="118"/>
      <c r="C3" s="118"/>
      <c r="D3" s="10" t="s">
        <v>24</v>
      </c>
      <c r="E3" s="124">
        <v>45770</v>
      </c>
      <c r="F3" s="124"/>
      <c r="G3" s="124"/>
      <c r="H3" s="124"/>
    </row>
    <row r="4" spans="1:8" x14ac:dyDescent="0.2">
      <c r="A4" s="118"/>
      <c r="B4" s="118"/>
      <c r="C4" s="118"/>
      <c r="D4" s="10" t="s">
        <v>26</v>
      </c>
      <c r="E4" s="123" t="s">
        <v>204</v>
      </c>
      <c r="F4" s="123"/>
      <c r="G4" s="123"/>
      <c r="H4" s="123"/>
    </row>
    <row r="5" spans="1:8" x14ac:dyDescent="0.2">
      <c r="A5" s="118"/>
      <c r="B5" s="118"/>
      <c r="C5" s="118"/>
      <c r="D5" s="10" t="s">
        <v>158</v>
      </c>
      <c r="E5" s="125" t="s">
        <v>266</v>
      </c>
      <c r="F5" s="123"/>
      <c r="G5" s="123"/>
      <c r="H5" s="123"/>
    </row>
    <row r="6" spans="1:8" x14ac:dyDescent="0.2">
      <c r="A6" s="118"/>
      <c r="B6" s="118"/>
      <c r="C6" s="118"/>
      <c r="D6" s="10" t="s">
        <v>160</v>
      </c>
      <c r="E6" s="123" t="s">
        <v>267</v>
      </c>
      <c r="F6" s="123"/>
      <c r="G6" s="123"/>
      <c r="H6" s="123"/>
    </row>
    <row r="7" spans="1:8" x14ac:dyDescent="0.2">
      <c r="A7" s="118"/>
      <c r="B7" s="118"/>
      <c r="C7" s="118"/>
      <c r="D7" s="10" t="s">
        <v>30</v>
      </c>
      <c r="E7" s="126" t="s">
        <v>268</v>
      </c>
      <c r="F7" s="126"/>
      <c r="G7" s="126"/>
      <c r="H7" s="126"/>
    </row>
    <row r="8" spans="1:8" x14ac:dyDescent="0.2">
      <c r="A8" s="118"/>
      <c r="B8" s="118"/>
      <c r="C8" s="118"/>
      <c r="D8" s="63"/>
      <c r="E8" s="118" t="s">
        <v>162</v>
      </c>
      <c r="F8" s="118"/>
      <c r="G8" s="118"/>
      <c r="H8" s="118"/>
    </row>
    <row r="9" spans="1:8" x14ac:dyDescent="0.2">
      <c r="A9" s="127" t="s">
        <v>426</v>
      </c>
      <c r="B9" s="127"/>
      <c r="C9" s="128" t="s">
        <v>265</v>
      </c>
      <c r="D9" s="64" t="s">
        <v>163</v>
      </c>
      <c r="E9" s="129">
        <f>SUM(E10:F19)</f>
        <v>238</v>
      </c>
      <c r="F9" s="129"/>
      <c r="G9" s="130">
        <v>1</v>
      </c>
      <c r="H9" s="130"/>
    </row>
    <row r="10" spans="1:8" x14ac:dyDescent="0.2">
      <c r="A10" s="127"/>
      <c r="B10" s="127"/>
      <c r="C10" s="128"/>
      <c r="D10" s="22" t="s">
        <v>97</v>
      </c>
      <c r="E10" s="131">
        <f>COUNTIF(E22:E361,"OK")</f>
        <v>168</v>
      </c>
      <c r="F10" s="131"/>
      <c r="G10" s="130">
        <f>E10/E9</f>
        <v>0.70588235294117652</v>
      </c>
      <c r="H10" s="130"/>
    </row>
    <row r="11" spans="1:8" x14ac:dyDescent="0.2">
      <c r="A11" s="127"/>
      <c r="B11" s="127"/>
      <c r="C11" s="128"/>
      <c r="D11" s="22" t="s">
        <v>99</v>
      </c>
      <c r="E11" s="131">
        <f>COUNTIF(E22:E361,"Partially tested")</f>
        <v>0</v>
      </c>
      <c r="F11" s="131"/>
      <c r="G11" s="130">
        <f>E11/E9</f>
        <v>0</v>
      </c>
      <c r="H11" s="130"/>
    </row>
    <row r="12" spans="1:8" x14ac:dyDescent="0.2">
      <c r="A12" s="127"/>
      <c r="B12" s="127"/>
      <c r="C12" s="128"/>
      <c r="D12" s="22" t="s">
        <v>94</v>
      </c>
      <c r="E12" s="131">
        <f>COUNTIF(E22:E361,"Enhancement")</f>
        <v>0</v>
      </c>
      <c r="F12" s="131"/>
      <c r="G12" s="130">
        <f>E12/E9</f>
        <v>0</v>
      </c>
      <c r="H12" s="130"/>
    </row>
    <row r="13" spans="1:8" x14ac:dyDescent="0.2">
      <c r="A13" s="127"/>
      <c r="B13" s="127"/>
      <c r="C13" s="128"/>
      <c r="D13" s="22" t="s">
        <v>92</v>
      </c>
      <c r="E13" s="131">
        <f>COUNTIF(E22:E361,"Minor")</f>
        <v>27</v>
      </c>
      <c r="F13" s="131"/>
      <c r="G13" s="130">
        <f>E13/E9</f>
        <v>0.1134453781512605</v>
      </c>
      <c r="H13" s="130"/>
    </row>
    <row r="14" spans="1:8" x14ac:dyDescent="0.2">
      <c r="A14" s="127"/>
      <c r="B14" s="127"/>
      <c r="C14" s="128"/>
      <c r="D14" s="22" t="s">
        <v>90</v>
      </c>
      <c r="E14" s="131">
        <f>COUNTIF(E22:E361,"Average")</f>
        <v>26</v>
      </c>
      <c r="F14" s="131"/>
      <c r="G14" s="130">
        <f>E14/E9</f>
        <v>0.1092436974789916</v>
      </c>
      <c r="H14" s="130"/>
    </row>
    <row r="15" spans="1:8" x14ac:dyDescent="0.2">
      <c r="A15" s="127"/>
      <c r="B15" s="127"/>
      <c r="C15" s="128"/>
      <c r="D15" s="22" t="s">
        <v>88</v>
      </c>
      <c r="E15" s="131">
        <f>COUNTIF(E22:E361,"Major")</f>
        <v>15</v>
      </c>
      <c r="F15" s="131"/>
      <c r="G15" s="130">
        <f>E15/E9</f>
        <v>6.3025210084033612E-2</v>
      </c>
      <c r="H15" s="130"/>
    </row>
    <row r="16" spans="1:8" x14ac:dyDescent="0.2">
      <c r="A16" s="127"/>
      <c r="B16" s="127"/>
      <c r="C16" s="128"/>
      <c r="D16" s="22" t="s">
        <v>86</v>
      </c>
      <c r="E16" s="131">
        <f>COUNTIF(E22:E361,"Critical")</f>
        <v>2</v>
      </c>
      <c r="F16" s="131"/>
      <c r="G16" s="130">
        <f>E16/E9</f>
        <v>8.4033613445378148E-3</v>
      </c>
      <c r="H16" s="130"/>
    </row>
    <row r="17" spans="1:8" x14ac:dyDescent="0.2">
      <c r="A17" s="127"/>
      <c r="B17" s="127"/>
      <c r="C17" s="128"/>
      <c r="D17" s="22" t="s">
        <v>101</v>
      </c>
      <c r="E17" s="131">
        <f>COUNTIF(E22:E361,"Not available")</f>
        <v>0</v>
      </c>
      <c r="F17" s="131"/>
      <c r="G17" s="130">
        <f>E17/E9</f>
        <v>0</v>
      </c>
      <c r="H17" s="130"/>
    </row>
    <row r="18" spans="1:8" x14ac:dyDescent="0.2">
      <c r="A18" s="127"/>
      <c r="B18" s="127"/>
      <c r="C18" s="128"/>
      <c r="D18" s="22" t="s">
        <v>103</v>
      </c>
      <c r="E18" s="131">
        <f>COUNTIF(E22:E361,"Not implemented")</f>
        <v>0</v>
      </c>
      <c r="F18" s="131"/>
      <c r="G18" s="130"/>
      <c r="H18" s="130"/>
    </row>
    <row r="19" spans="1:8" x14ac:dyDescent="0.2">
      <c r="A19" s="127"/>
      <c r="B19" s="127"/>
      <c r="C19" s="128"/>
      <c r="D19" s="22" t="s">
        <v>105</v>
      </c>
      <c r="E19" s="131">
        <f>COUNTIF(E22:E361,"Not tested")</f>
        <v>0</v>
      </c>
      <c r="F19" s="131"/>
      <c r="G19" s="130"/>
      <c r="H19" s="130"/>
    </row>
    <row r="20" spans="1:8" x14ac:dyDescent="0.2">
      <c r="A20" s="127"/>
      <c r="B20" s="127"/>
      <c r="C20" s="128"/>
      <c r="D20" s="65" t="s">
        <v>164</v>
      </c>
      <c r="E20" s="129">
        <f>ROUND(SUM(H22:H22,)/60, 2)</f>
        <v>0</v>
      </c>
      <c r="F20" s="129"/>
      <c r="G20" s="130"/>
      <c r="H20" s="130"/>
    </row>
    <row r="21" spans="1:8" x14ac:dyDescent="0.2">
      <c r="A21" s="66" t="s">
        <v>165</v>
      </c>
      <c r="B21" s="66" t="s">
        <v>166</v>
      </c>
      <c r="C21" s="66" t="s">
        <v>167</v>
      </c>
      <c r="D21" s="66" t="s">
        <v>168</v>
      </c>
      <c r="E21" s="66" t="s">
        <v>169</v>
      </c>
      <c r="F21" s="66" t="s">
        <v>170</v>
      </c>
      <c r="G21" s="66" t="s">
        <v>26</v>
      </c>
      <c r="H21" s="67" t="s">
        <v>171</v>
      </c>
    </row>
    <row r="22" spans="1:8" x14ac:dyDescent="0.2">
      <c r="A22" s="44" t="s">
        <v>11</v>
      </c>
      <c r="B22" s="107" t="s">
        <v>256</v>
      </c>
      <c r="C22" s="70" t="s">
        <v>208</v>
      </c>
      <c r="D22" s="70" t="s">
        <v>221</v>
      </c>
      <c r="E22" s="22" t="s">
        <v>88</v>
      </c>
      <c r="F22" s="71"/>
      <c r="G22" s="72" t="s">
        <v>204</v>
      </c>
      <c r="H22" s="72"/>
    </row>
    <row r="23" spans="1:8" x14ac:dyDescent="0.2">
      <c r="A23" s="21" t="s">
        <v>425</v>
      </c>
      <c r="B23" s="107" t="s">
        <v>256</v>
      </c>
      <c r="C23" s="70" t="s">
        <v>209</v>
      </c>
      <c r="D23" s="70" t="s">
        <v>220</v>
      </c>
      <c r="E23" s="22" t="s">
        <v>92</v>
      </c>
      <c r="F23" s="21"/>
      <c r="G23" s="72" t="s">
        <v>204</v>
      </c>
      <c r="H23" s="21"/>
    </row>
    <row r="24" spans="1:8" x14ac:dyDescent="0.2">
      <c r="A24" s="108" t="s">
        <v>13</v>
      </c>
      <c r="B24" s="107" t="s">
        <v>256</v>
      </c>
      <c r="C24" s="70" t="s">
        <v>210</v>
      </c>
      <c r="D24" s="70" t="s">
        <v>219</v>
      </c>
      <c r="E24" s="22" t="s">
        <v>97</v>
      </c>
      <c r="F24" s="21"/>
      <c r="G24" s="72" t="s">
        <v>204</v>
      </c>
      <c r="H24" s="21"/>
    </row>
    <row r="25" spans="1:8" x14ac:dyDescent="0.2">
      <c r="A25" s="108" t="s">
        <v>11</v>
      </c>
      <c r="B25" s="107" t="s">
        <v>256</v>
      </c>
      <c r="C25" s="70" t="s">
        <v>211</v>
      </c>
      <c r="D25" s="70" t="s">
        <v>218</v>
      </c>
      <c r="E25" s="22" t="s">
        <v>97</v>
      </c>
      <c r="F25" s="21"/>
      <c r="G25" s="72" t="s">
        <v>204</v>
      </c>
      <c r="H25" s="21"/>
    </row>
    <row r="26" spans="1:8" x14ac:dyDescent="0.2">
      <c r="A26" s="108" t="s">
        <v>13</v>
      </c>
      <c r="B26" s="107" t="s">
        <v>256</v>
      </c>
      <c r="C26" s="145" t="s">
        <v>580</v>
      </c>
      <c r="D26" s="70" t="s">
        <v>246</v>
      </c>
      <c r="E26" s="22" t="s">
        <v>90</v>
      </c>
      <c r="F26" s="21"/>
      <c r="G26" s="72" t="s">
        <v>204</v>
      </c>
      <c r="H26" s="21"/>
    </row>
    <row r="27" spans="1:8" x14ac:dyDescent="0.2">
      <c r="A27" s="108" t="s">
        <v>11</v>
      </c>
      <c r="B27" s="107" t="s">
        <v>256</v>
      </c>
      <c r="C27" s="145" t="s">
        <v>583</v>
      </c>
      <c r="D27" s="70" t="s">
        <v>584</v>
      </c>
      <c r="E27" s="22" t="s">
        <v>97</v>
      </c>
      <c r="F27" s="21"/>
      <c r="G27" s="72" t="s">
        <v>204</v>
      </c>
      <c r="H27" s="21"/>
    </row>
    <row r="28" spans="1:8" x14ac:dyDescent="0.2">
      <c r="A28" s="108" t="s">
        <v>11</v>
      </c>
      <c r="B28" s="107" t="s">
        <v>256</v>
      </c>
      <c r="C28" s="145" t="s">
        <v>585</v>
      </c>
      <c r="D28" s="70" t="s">
        <v>586</v>
      </c>
      <c r="E28" s="22" t="s">
        <v>97</v>
      </c>
      <c r="F28" s="21"/>
      <c r="G28" s="72" t="s">
        <v>204</v>
      </c>
      <c r="H28" s="21"/>
    </row>
    <row r="29" spans="1:8" x14ac:dyDescent="0.2">
      <c r="A29" s="108" t="s">
        <v>13</v>
      </c>
      <c r="B29" s="107" t="s">
        <v>256</v>
      </c>
      <c r="C29" s="145" t="s">
        <v>587</v>
      </c>
      <c r="D29" s="70" t="s">
        <v>246</v>
      </c>
      <c r="E29" s="22" t="s">
        <v>97</v>
      </c>
      <c r="F29" s="21"/>
      <c r="G29" s="72" t="s">
        <v>204</v>
      </c>
      <c r="H29" s="21"/>
    </row>
    <row r="30" spans="1:8" x14ac:dyDescent="0.2">
      <c r="A30" s="108" t="s">
        <v>11</v>
      </c>
      <c r="B30" s="107" t="s">
        <v>256</v>
      </c>
      <c r="C30" s="70" t="s">
        <v>581</v>
      </c>
      <c r="D30" s="70" t="s">
        <v>582</v>
      </c>
      <c r="E30" s="22" t="s">
        <v>97</v>
      </c>
      <c r="F30" s="21"/>
      <c r="G30" s="72" t="s">
        <v>204</v>
      </c>
      <c r="H30" s="21"/>
    </row>
    <row r="31" spans="1:8" ht="22.5" x14ac:dyDescent="0.2">
      <c r="A31" s="108" t="s">
        <v>11</v>
      </c>
      <c r="B31" s="107" t="s">
        <v>256</v>
      </c>
      <c r="C31" s="70" t="s">
        <v>569</v>
      </c>
      <c r="D31" s="70" t="s">
        <v>246</v>
      </c>
      <c r="E31" s="22" t="s">
        <v>97</v>
      </c>
      <c r="F31" s="21"/>
      <c r="G31" s="72" t="s">
        <v>204</v>
      </c>
      <c r="H31" s="21"/>
    </row>
    <row r="32" spans="1:8" x14ac:dyDescent="0.2">
      <c r="A32" s="108" t="s">
        <v>13</v>
      </c>
      <c r="B32" s="107" t="s">
        <v>256</v>
      </c>
      <c r="C32" s="70" t="s">
        <v>604</v>
      </c>
      <c r="D32" s="70" t="s">
        <v>246</v>
      </c>
      <c r="E32" s="22" t="s">
        <v>90</v>
      </c>
      <c r="F32" s="21"/>
      <c r="G32" s="72" t="s">
        <v>204</v>
      </c>
      <c r="H32" s="21"/>
    </row>
    <row r="33" spans="1:8" x14ac:dyDescent="0.2">
      <c r="A33" s="108" t="s">
        <v>11</v>
      </c>
      <c r="B33" s="107" t="s">
        <v>256</v>
      </c>
      <c r="C33" s="70" t="s">
        <v>571</v>
      </c>
      <c r="D33" s="70" t="s">
        <v>572</v>
      </c>
      <c r="E33" s="22" t="s">
        <v>97</v>
      </c>
      <c r="F33" s="21"/>
      <c r="G33" s="72" t="s">
        <v>204</v>
      </c>
      <c r="H33" s="21"/>
    </row>
    <row r="34" spans="1:8" x14ac:dyDescent="0.2">
      <c r="A34" s="108" t="s">
        <v>13</v>
      </c>
      <c r="B34" s="107" t="s">
        <v>256</v>
      </c>
      <c r="C34" s="70" t="s">
        <v>570</v>
      </c>
      <c r="D34" s="70" t="s">
        <v>246</v>
      </c>
      <c r="E34" s="22" t="s">
        <v>90</v>
      </c>
      <c r="F34" s="21"/>
      <c r="G34" s="72" t="s">
        <v>204</v>
      </c>
      <c r="H34" s="21"/>
    </row>
    <row r="35" spans="1:8" x14ac:dyDescent="0.2">
      <c r="A35" s="108" t="s">
        <v>11</v>
      </c>
      <c r="B35" s="107" t="s">
        <v>256</v>
      </c>
      <c r="C35" s="70" t="s">
        <v>429</v>
      </c>
      <c r="D35" s="70" t="s">
        <v>246</v>
      </c>
      <c r="E35" s="22" t="s">
        <v>97</v>
      </c>
      <c r="F35" s="21"/>
      <c r="G35" s="72" t="s">
        <v>204</v>
      </c>
      <c r="H35" s="21"/>
    </row>
    <row r="36" spans="1:8" x14ac:dyDescent="0.2">
      <c r="A36" s="108" t="s">
        <v>13</v>
      </c>
      <c r="B36" s="107" t="s">
        <v>256</v>
      </c>
      <c r="C36" s="145" t="s">
        <v>592</v>
      </c>
      <c r="D36" s="70" t="s">
        <v>246</v>
      </c>
      <c r="E36" s="22" t="s">
        <v>97</v>
      </c>
      <c r="F36" s="21"/>
      <c r="G36" s="72" t="s">
        <v>204</v>
      </c>
      <c r="H36" s="21"/>
    </row>
    <row r="37" spans="1:8" x14ac:dyDescent="0.2">
      <c r="A37" s="108" t="s">
        <v>11</v>
      </c>
      <c r="B37" s="107" t="s">
        <v>256</v>
      </c>
      <c r="C37" s="145" t="s">
        <v>593</v>
      </c>
      <c r="D37" s="70" t="s">
        <v>584</v>
      </c>
      <c r="E37" s="22" t="s">
        <v>97</v>
      </c>
      <c r="F37" s="21"/>
      <c r="G37" s="72" t="s">
        <v>204</v>
      </c>
      <c r="H37" s="21"/>
    </row>
    <row r="38" spans="1:8" x14ac:dyDescent="0.2">
      <c r="A38" s="108" t="s">
        <v>11</v>
      </c>
      <c r="B38" s="107" t="s">
        <v>256</v>
      </c>
      <c r="C38" s="145" t="s">
        <v>595</v>
      </c>
      <c r="D38" s="70" t="s">
        <v>594</v>
      </c>
      <c r="E38" s="22" t="s">
        <v>97</v>
      </c>
      <c r="F38" s="21"/>
      <c r="G38" s="72" t="s">
        <v>204</v>
      </c>
      <c r="H38" s="21"/>
    </row>
    <row r="39" spans="1:8" x14ac:dyDescent="0.2">
      <c r="A39" s="108" t="s">
        <v>13</v>
      </c>
      <c r="B39" s="107" t="s">
        <v>256</v>
      </c>
      <c r="C39" s="145" t="s">
        <v>596</v>
      </c>
      <c r="D39" s="70" t="s">
        <v>246</v>
      </c>
      <c r="E39" s="22" t="s">
        <v>97</v>
      </c>
      <c r="F39" s="21"/>
      <c r="G39" s="72" t="s">
        <v>204</v>
      </c>
      <c r="H39" s="21"/>
    </row>
    <row r="40" spans="1:8" x14ac:dyDescent="0.2">
      <c r="A40" s="108" t="s">
        <v>11</v>
      </c>
      <c r="B40" s="107" t="s">
        <v>256</v>
      </c>
      <c r="C40" s="70" t="s">
        <v>597</v>
      </c>
      <c r="D40" s="70" t="s">
        <v>598</v>
      </c>
      <c r="E40" s="22" t="s">
        <v>97</v>
      </c>
      <c r="F40" s="21"/>
      <c r="G40" s="72" t="s">
        <v>204</v>
      </c>
      <c r="H40" s="21"/>
    </row>
    <row r="41" spans="1:8" x14ac:dyDescent="0.2">
      <c r="A41" s="108" t="s">
        <v>13</v>
      </c>
      <c r="B41" s="107" t="s">
        <v>256</v>
      </c>
      <c r="C41" s="70" t="s">
        <v>430</v>
      </c>
      <c r="D41" s="70" t="s">
        <v>246</v>
      </c>
      <c r="E41" s="22" t="s">
        <v>97</v>
      </c>
      <c r="F41" s="21"/>
      <c r="G41" s="72" t="s">
        <v>204</v>
      </c>
      <c r="H41" s="21"/>
    </row>
    <row r="42" spans="1:8" x14ac:dyDescent="0.2">
      <c r="A42" s="108" t="s">
        <v>11</v>
      </c>
      <c r="B42" s="107" t="s">
        <v>256</v>
      </c>
      <c r="C42" s="145" t="s">
        <v>606</v>
      </c>
      <c r="D42" s="146" t="s">
        <v>607</v>
      </c>
      <c r="E42" s="22" t="s">
        <v>97</v>
      </c>
      <c r="F42" s="21"/>
      <c r="G42" s="72" t="s">
        <v>204</v>
      </c>
      <c r="H42" s="21"/>
    </row>
    <row r="43" spans="1:8" x14ac:dyDescent="0.2">
      <c r="A43" s="108" t="s">
        <v>13</v>
      </c>
      <c r="B43" s="107" t="s">
        <v>256</v>
      </c>
      <c r="C43" s="70" t="s">
        <v>605</v>
      </c>
      <c r="D43" s="70" t="s">
        <v>246</v>
      </c>
      <c r="E43" s="22" t="s">
        <v>97</v>
      </c>
      <c r="F43" s="21"/>
      <c r="G43" s="72" t="s">
        <v>204</v>
      </c>
      <c r="H43" s="21"/>
    </row>
    <row r="44" spans="1:8" x14ac:dyDescent="0.2">
      <c r="A44" s="108" t="s">
        <v>11</v>
      </c>
      <c r="B44" s="107" t="s">
        <v>256</v>
      </c>
      <c r="C44" s="145" t="s">
        <v>590</v>
      </c>
      <c r="D44" s="145" t="s">
        <v>591</v>
      </c>
      <c r="E44" s="22" t="s">
        <v>97</v>
      </c>
      <c r="F44" s="21"/>
      <c r="G44" s="72" t="s">
        <v>204</v>
      </c>
      <c r="H44" s="21"/>
    </row>
    <row r="45" spans="1:8" x14ac:dyDescent="0.2">
      <c r="A45" s="108" t="s">
        <v>11</v>
      </c>
      <c r="B45" s="107" t="s">
        <v>256</v>
      </c>
      <c r="C45" s="145" t="s">
        <v>588</v>
      </c>
      <c r="D45" s="144" t="s">
        <v>589</v>
      </c>
      <c r="E45" s="22" t="s">
        <v>97</v>
      </c>
      <c r="F45" s="21"/>
      <c r="G45" s="72" t="s">
        <v>204</v>
      </c>
      <c r="H45" s="21"/>
    </row>
    <row r="46" spans="1:8" x14ac:dyDescent="0.2">
      <c r="A46" s="108" t="s">
        <v>11</v>
      </c>
      <c r="B46" s="107" t="s">
        <v>256</v>
      </c>
      <c r="C46" s="145" t="s">
        <v>574</v>
      </c>
      <c r="D46" s="70" t="s">
        <v>575</v>
      </c>
      <c r="E46" s="22" t="s">
        <v>97</v>
      </c>
      <c r="F46" s="21"/>
      <c r="G46" s="72" t="s">
        <v>204</v>
      </c>
      <c r="H46" s="21"/>
    </row>
    <row r="47" spans="1:8" x14ac:dyDescent="0.2">
      <c r="A47" s="108" t="s">
        <v>11</v>
      </c>
      <c r="B47" s="107" t="s">
        <v>256</v>
      </c>
      <c r="C47" s="145" t="s">
        <v>576</v>
      </c>
      <c r="D47" s="144" t="s">
        <v>577</v>
      </c>
      <c r="E47" s="22" t="s">
        <v>97</v>
      </c>
      <c r="F47" s="21"/>
      <c r="G47" s="72" t="s">
        <v>204</v>
      </c>
      <c r="H47" s="21"/>
    </row>
    <row r="48" spans="1:8" x14ac:dyDescent="0.2">
      <c r="A48" s="108" t="s">
        <v>11</v>
      </c>
      <c r="B48" s="107" t="s">
        <v>256</v>
      </c>
      <c r="C48" s="145" t="s">
        <v>578</v>
      </c>
      <c r="D48" s="70" t="s">
        <v>246</v>
      </c>
      <c r="E48" s="22" t="s">
        <v>97</v>
      </c>
      <c r="F48" s="21"/>
      <c r="G48" s="72" t="s">
        <v>204</v>
      </c>
      <c r="H48" s="21"/>
    </row>
    <row r="49" spans="1:8" x14ac:dyDescent="0.2">
      <c r="A49" s="108" t="s">
        <v>13</v>
      </c>
      <c r="B49" s="107" t="s">
        <v>256</v>
      </c>
      <c r="C49" s="145" t="s">
        <v>579</v>
      </c>
      <c r="D49" s="70" t="s">
        <v>246</v>
      </c>
      <c r="E49" s="22" t="s">
        <v>97</v>
      </c>
      <c r="F49" s="21"/>
      <c r="G49" s="72" t="s">
        <v>204</v>
      </c>
      <c r="H49" s="21"/>
    </row>
    <row r="50" spans="1:8" x14ac:dyDescent="0.2">
      <c r="A50" s="108" t="s">
        <v>13</v>
      </c>
      <c r="B50" s="107" t="s">
        <v>256</v>
      </c>
      <c r="C50" s="70" t="s">
        <v>573</v>
      </c>
      <c r="D50" s="70" t="s">
        <v>246</v>
      </c>
      <c r="E50" s="22" t="s">
        <v>97</v>
      </c>
      <c r="F50" s="21"/>
      <c r="G50" s="72" t="s">
        <v>204</v>
      </c>
      <c r="H50" s="21"/>
    </row>
    <row r="51" spans="1:8" x14ac:dyDescent="0.2">
      <c r="A51" s="108" t="s">
        <v>13</v>
      </c>
      <c r="B51" s="107" t="s">
        <v>256</v>
      </c>
      <c r="C51" s="145" t="s">
        <v>599</v>
      </c>
      <c r="D51" s="70" t="s">
        <v>246</v>
      </c>
      <c r="E51" s="22" t="s">
        <v>97</v>
      </c>
      <c r="F51" s="21"/>
      <c r="G51" s="72" t="s">
        <v>204</v>
      </c>
      <c r="H51" s="21"/>
    </row>
    <row r="52" spans="1:8" x14ac:dyDescent="0.2">
      <c r="A52" s="108" t="s">
        <v>11</v>
      </c>
      <c r="B52" s="107" t="s">
        <v>256</v>
      </c>
      <c r="C52" s="145" t="s">
        <v>600</v>
      </c>
      <c r="D52" s="70" t="s">
        <v>584</v>
      </c>
      <c r="E52" s="22" t="s">
        <v>97</v>
      </c>
      <c r="F52" s="21"/>
      <c r="G52" s="72" t="s">
        <v>204</v>
      </c>
      <c r="H52" s="21"/>
    </row>
    <row r="53" spans="1:8" x14ac:dyDescent="0.2">
      <c r="A53" s="108" t="s">
        <v>11</v>
      </c>
      <c r="B53" s="107" t="s">
        <v>256</v>
      </c>
      <c r="C53" s="145" t="s">
        <v>601</v>
      </c>
      <c r="D53" s="70" t="s">
        <v>594</v>
      </c>
      <c r="E53" s="22" t="s">
        <v>90</v>
      </c>
      <c r="F53" s="21"/>
      <c r="G53" s="72" t="s">
        <v>204</v>
      </c>
      <c r="H53" s="21"/>
    </row>
    <row r="54" spans="1:8" x14ac:dyDescent="0.2">
      <c r="A54" s="108" t="s">
        <v>11</v>
      </c>
      <c r="B54" s="107" t="s">
        <v>256</v>
      </c>
      <c r="C54" s="70" t="s">
        <v>602</v>
      </c>
      <c r="D54" s="70" t="s">
        <v>603</v>
      </c>
      <c r="E54" s="22" t="s">
        <v>97</v>
      </c>
      <c r="F54" s="21"/>
      <c r="G54" s="72" t="s">
        <v>204</v>
      </c>
      <c r="H54" s="21"/>
    </row>
    <row r="55" spans="1:8" x14ac:dyDescent="0.2">
      <c r="A55" s="108" t="s">
        <v>11</v>
      </c>
      <c r="B55" s="107" t="s">
        <v>256</v>
      </c>
      <c r="C55" s="70" t="s">
        <v>462</v>
      </c>
      <c r="D55" s="70" t="s">
        <v>463</v>
      </c>
      <c r="E55" s="22" t="s">
        <v>97</v>
      </c>
      <c r="F55" s="21"/>
      <c r="G55" s="72" t="s">
        <v>204</v>
      </c>
      <c r="H55" s="21"/>
    </row>
    <row r="56" spans="1:8" x14ac:dyDescent="0.2">
      <c r="A56" s="108" t="s">
        <v>11</v>
      </c>
      <c r="B56" s="107" t="s">
        <v>256</v>
      </c>
      <c r="C56" s="70" t="s">
        <v>464</v>
      </c>
      <c r="D56" s="70" t="s">
        <v>465</v>
      </c>
      <c r="E56" s="22" t="s">
        <v>97</v>
      </c>
      <c r="F56" s="21"/>
      <c r="G56" s="72" t="s">
        <v>204</v>
      </c>
      <c r="H56" s="21"/>
    </row>
    <row r="57" spans="1:8" x14ac:dyDescent="0.2">
      <c r="A57" s="108" t="s">
        <v>11</v>
      </c>
      <c r="B57" s="107" t="s">
        <v>256</v>
      </c>
      <c r="C57" s="70" t="s">
        <v>461</v>
      </c>
      <c r="D57" s="70" t="s">
        <v>460</v>
      </c>
      <c r="E57" s="22" t="s">
        <v>97</v>
      </c>
      <c r="F57" s="21"/>
      <c r="G57" s="72" t="s">
        <v>204</v>
      </c>
      <c r="H57" s="21"/>
    </row>
    <row r="58" spans="1:8" x14ac:dyDescent="0.2">
      <c r="A58" s="108" t="s">
        <v>11</v>
      </c>
      <c r="B58" s="107" t="s">
        <v>256</v>
      </c>
      <c r="C58" s="70" t="s">
        <v>431</v>
      </c>
      <c r="D58" s="70" t="s">
        <v>432</v>
      </c>
      <c r="E58" s="22" t="s">
        <v>97</v>
      </c>
      <c r="F58" s="21"/>
      <c r="G58" s="72" t="s">
        <v>204</v>
      </c>
      <c r="H58" s="21"/>
    </row>
    <row r="59" spans="1:8" x14ac:dyDescent="0.2">
      <c r="A59" s="108" t="s">
        <v>172</v>
      </c>
      <c r="B59" s="107" t="s">
        <v>256</v>
      </c>
      <c r="C59" s="70" t="s">
        <v>434</v>
      </c>
      <c r="D59" s="70" t="s">
        <v>433</v>
      </c>
      <c r="E59" s="22" t="s">
        <v>97</v>
      </c>
      <c r="F59" s="21"/>
      <c r="G59" s="72" t="s">
        <v>204</v>
      </c>
      <c r="H59" s="21"/>
    </row>
    <row r="60" spans="1:8" x14ac:dyDescent="0.2">
      <c r="A60" s="108" t="s">
        <v>11</v>
      </c>
      <c r="B60" s="107" t="s">
        <v>256</v>
      </c>
      <c r="C60" s="70" t="s">
        <v>436</v>
      </c>
      <c r="D60" s="70" t="s">
        <v>435</v>
      </c>
      <c r="E60" s="22" t="s">
        <v>97</v>
      </c>
      <c r="F60" s="21"/>
      <c r="G60" s="72" t="s">
        <v>204</v>
      </c>
      <c r="H60" s="21"/>
    </row>
    <row r="61" spans="1:8" x14ac:dyDescent="0.2">
      <c r="A61" s="108" t="s">
        <v>11</v>
      </c>
      <c r="B61" s="107" t="s">
        <v>256</v>
      </c>
      <c r="C61" s="70" t="s">
        <v>212</v>
      </c>
      <c r="D61" s="70" t="s">
        <v>216</v>
      </c>
      <c r="E61" s="22" t="s">
        <v>97</v>
      </c>
      <c r="F61" s="21"/>
      <c r="G61" s="72" t="s">
        <v>204</v>
      </c>
      <c r="H61" s="21"/>
    </row>
    <row r="62" spans="1:8" x14ac:dyDescent="0.2">
      <c r="A62" s="108" t="s">
        <v>11</v>
      </c>
      <c r="B62" s="107" t="s">
        <v>256</v>
      </c>
      <c r="C62" s="70" t="s">
        <v>213</v>
      </c>
      <c r="D62" s="70" t="s">
        <v>215</v>
      </c>
      <c r="E62" s="22" t="s">
        <v>97</v>
      </c>
      <c r="F62" s="21"/>
      <c r="G62" s="72" t="s">
        <v>204</v>
      </c>
      <c r="H62" s="21"/>
    </row>
    <row r="63" spans="1:8" x14ac:dyDescent="0.2">
      <c r="A63" s="108" t="s">
        <v>11</v>
      </c>
      <c r="B63" s="107" t="s">
        <v>256</v>
      </c>
      <c r="C63" s="70" t="s">
        <v>437</v>
      </c>
      <c r="D63" s="70" t="s">
        <v>435</v>
      </c>
      <c r="E63" s="22" t="s">
        <v>97</v>
      </c>
      <c r="F63" s="21"/>
      <c r="G63" s="72" t="s">
        <v>204</v>
      </c>
      <c r="H63" s="21"/>
    </row>
    <row r="64" spans="1:8" x14ac:dyDescent="0.2">
      <c r="A64" s="108" t="s">
        <v>11</v>
      </c>
      <c r="B64" s="107" t="s">
        <v>256</v>
      </c>
      <c r="C64" s="70" t="s">
        <v>438</v>
      </c>
      <c r="D64" s="70" t="s">
        <v>432</v>
      </c>
      <c r="E64" s="22" t="s">
        <v>97</v>
      </c>
      <c r="F64" s="21"/>
      <c r="G64" s="72" t="s">
        <v>204</v>
      </c>
      <c r="H64" s="21"/>
    </row>
    <row r="65" spans="1:8" x14ac:dyDescent="0.2">
      <c r="A65" s="108" t="s">
        <v>11</v>
      </c>
      <c r="B65" s="107" t="s">
        <v>256</v>
      </c>
      <c r="C65" s="70" t="s">
        <v>439</v>
      </c>
      <c r="D65" s="70" t="s">
        <v>214</v>
      </c>
      <c r="E65" s="22" t="s">
        <v>97</v>
      </c>
      <c r="F65" s="21"/>
      <c r="G65" s="72" t="s">
        <v>204</v>
      </c>
      <c r="H65" s="21"/>
    </row>
    <row r="66" spans="1:8" x14ac:dyDescent="0.2">
      <c r="A66" s="108" t="s">
        <v>13</v>
      </c>
      <c r="B66" s="107" t="s">
        <v>256</v>
      </c>
      <c r="C66" s="70" t="s">
        <v>440</v>
      </c>
      <c r="D66" s="70" t="s">
        <v>244</v>
      </c>
      <c r="E66" s="22" t="s">
        <v>92</v>
      </c>
      <c r="F66" s="21"/>
      <c r="G66" s="72" t="s">
        <v>204</v>
      </c>
      <c r="H66" s="21"/>
    </row>
    <row r="67" spans="1:8" x14ac:dyDescent="0.2">
      <c r="A67" s="108" t="s">
        <v>13</v>
      </c>
      <c r="B67" s="107" t="s">
        <v>256</v>
      </c>
      <c r="C67" s="70" t="s">
        <v>383</v>
      </c>
      <c r="D67" s="70" t="s">
        <v>384</v>
      </c>
      <c r="E67" s="22" t="s">
        <v>92</v>
      </c>
      <c r="F67" s="21"/>
      <c r="G67" s="72" t="s">
        <v>204</v>
      </c>
      <c r="H67" s="21"/>
    </row>
    <row r="68" spans="1:8" x14ac:dyDescent="0.2">
      <c r="A68" s="108" t="s">
        <v>11</v>
      </c>
      <c r="B68" s="107" t="s">
        <v>256</v>
      </c>
      <c r="C68" s="70" t="s">
        <v>245</v>
      </c>
      <c r="D68" s="70" t="s">
        <v>246</v>
      </c>
      <c r="E68" s="22" t="s">
        <v>97</v>
      </c>
      <c r="F68" s="21"/>
      <c r="G68" s="72" t="s">
        <v>204</v>
      </c>
      <c r="H68" s="21"/>
    </row>
    <row r="69" spans="1:8" x14ac:dyDescent="0.2">
      <c r="A69" s="108" t="s">
        <v>13</v>
      </c>
      <c r="B69" s="107" t="s">
        <v>256</v>
      </c>
      <c r="C69" s="70" t="s">
        <v>247</v>
      </c>
      <c r="D69" s="70" t="s">
        <v>248</v>
      </c>
      <c r="E69" s="22" t="s">
        <v>88</v>
      </c>
      <c r="F69" s="21"/>
      <c r="G69" s="72" t="s">
        <v>204</v>
      </c>
      <c r="H69" s="21"/>
    </row>
    <row r="70" spans="1:8" x14ac:dyDescent="0.2">
      <c r="A70" s="108" t="s">
        <v>13</v>
      </c>
      <c r="B70" s="107" t="s">
        <v>256</v>
      </c>
      <c r="C70" s="70" t="s">
        <v>249</v>
      </c>
      <c r="D70" s="70" t="s">
        <v>248</v>
      </c>
      <c r="E70" s="22" t="s">
        <v>88</v>
      </c>
      <c r="F70" s="21"/>
      <c r="G70" s="72" t="s">
        <v>204</v>
      </c>
      <c r="H70" s="21"/>
    </row>
    <row r="71" spans="1:8" x14ac:dyDescent="0.2">
      <c r="A71" s="108" t="s">
        <v>13</v>
      </c>
      <c r="B71" s="107" t="s">
        <v>256</v>
      </c>
      <c r="C71" s="70" t="s">
        <v>250</v>
      </c>
      <c r="D71" s="70" t="s">
        <v>455</v>
      </c>
      <c r="E71" s="22" t="s">
        <v>90</v>
      </c>
      <c r="F71" s="21"/>
      <c r="G71" s="72" t="s">
        <v>204</v>
      </c>
      <c r="H71" s="21"/>
    </row>
    <row r="72" spans="1:8" x14ac:dyDescent="0.2">
      <c r="A72" s="108" t="s">
        <v>13</v>
      </c>
      <c r="B72" s="107" t="s">
        <v>256</v>
      </c>
      <c r="C72" s="70" t="s">
        <v>251</v>
      </c>
      <c r="D72" s="70" t="s">
        <v>454</v>
      </c>
      <c r="E72" s="22" t="s">
        <v>90</v>
      </c>
      <c r="F72" s="21"/>
      <c r="G72" s="72" t="s">
        <v>204</v>
      </c>
      <c r="H72" s="21"/>
    </row>
    <row r="73" spans="1:8" x14ac:dyDescent="0.2">
      <c r="A73" s="108" t="s">
        <v>11</v>
      </c>
      <c r="B73" s="107" t="s">
        <v>256</v>
      </c>
      <c r="C73" s="70" t="s">
        <v>271</v>
      </c>
      <c r="D73" s="70" t="s">
        <v>246</v>
      </c>
      <c r="E73" s="22" t="s">
        <v>97</v>
      </c>
      <c r="F73" s="21"/>
      <c r="G73" s="72" t="s">
        <v>204</v>
      </c>
      <c r="H73" s="21"/>
    </row>
    <row r="74" spans="1:8" x14ac:dyDescent="0.2">
      <c r="A74" s="108" t="s">
        <v>11</v>
      </c>
      <c r="B74" s="107" t="s">
        <v>256</v>
      </c>
      <c r="C74" s="70" t="s">
        <v>269</v>
      </c>
      <c r="D74" s="70" t="s">
        <v>246</v>
      </c>
      <c r="E74" s="22" t="s">
        <v>97</v>
      </c>
      <c r="F74" s="21"/>
      <c r="G74" s="72" t="s">
        <v>204</v>
      </c>
      <c r="H74" s="21"/>
    </row>
    <row r="75" spans="1:8" x14ac:dyDescent="0.2">
      <c r="A75" s="108" t="s">
        <v>13</v>
      </c>
      <c r="B75" s="107" t="s">
        <v>256</v>
      </c>
      <c r="C75" s="70" t="s">
        <v>380</v>
      </c>
      <c r="D75" s="70" t="s">
        <v>381</v>
      </c>
      <c r="E75" s="22" t="s">
        <v>88</v>
      </c>
      <c r="F75" s="21"/>
      <c r="G75" s="72" t="s">
        <v>204</v>
      </c>
      <c r="H75" s="21"/>
    </row>
    <row r="76" spans="1:8" x14ac:dyDescent="0.2">
      <c r="A76" s="44" t="s">
        <v>11</v>
      </c>
      <c r="B76" s="107" t="s">
        <v>255</v>
      </c>
      <c r="C76" s="70" t="s">
        <v>208</v>
      </c>
      <c r="D76" s="70" t="s">
        <v>221</v>
      </c>
      <c r="E76" s="22" t="s">
        <v>88</v>
      </c>
      <c r="F76" s="71"/>
      <c r="G76" s="72" t="s">
        <v>204</v>
      </c>
      <c r="H76" s="72"/>
    </row>
    <row r="77" spans="1:8" x14ac:dyDescent="0.2">
      <c r="A77" s="108" t="s">
        <v>11</v>
      </c>
      <c r="B77" s="107" t="s">
        <v>255</v>
      </c>
      <c r="C77" s="70" t="s">
        <v>461</v>
      </c>
      <c r="D77" s="70" t="s">
        <v>460</v>
      </c>
      <c r="E77" s="22" t="s">
        <v>97</v>
      </c>
      <c r="F77" s="113"/>
      <c r="G77" s="72" t="s">
        <v>204</v>
      </c>
      <c r="H77" s="114"/>
    </row>
    <row r="78" spans="1:8" x14ac:dyDescent="0.2">
      <c r="A78" s="21" t="s">
        <v>428</v>
      </c>
      <c r="B78" s="107" t="s">
        <v>255</v>
      </c>
      <c r="C78" s="70" t="s">
        <v>209</v>
      </c>
      <c r="D78" s="70" t="s">
        <v>220</v>
      </c>
      <c r="E78" s="22" t="s">
        <v>97</v>
      </c>
      <c r="F78" s="21"/>
      <c r="G78" s="72" t="s">
        <v>204</v>
      </c>
      <c r="H78" s="21"/>
    </row>
    <row r="79" spans="1:8" x14ac:dyDescent="0.2">
      <c r="A79" s="21" t="s">
        <v>427</v>
      </c>
      <c r="B79" s="107" t="s">
        <v>255</v>
      </c>
      <c r="C79" s="70" t="s">
        <v>462</v>
      </c>
      <c r="D79" s="70" t="s">
        <v>463</v>
      </c>
      <c r="E79" s="22" t="s">
        <v>97</v>
      </c>
      <c r="F79" s="21"/>
      <c r="G79" s="72" t="s">
        <v>204</v>
      </c>
      <c r="H79" s="21"/>
    </row>
    <row r="80" spans="1:8" x14ac:dyDescent="0.2">
      <c r="A80" s="21" t="s">
        <v>427</v>
      </c>
      <c r="B80" s="107" t="s">
        <v>255</v>
      </c>
      <c r="C80" s="70" t="s">
        <v>466</v>
      </c>
      <c r="D80" s="70" t="s">
        <v>465</v>
      </c>
      <c r="E80" s="22" t="s">
        <v>97</v>
      </c>
      <c r="F80" s="21"/>
      <c r="G80" s="72" t="s">
        <v>204</v>
      </c>
      <c r="H80" s="21"/>
    </row>
    <row r="81" spans="1:8" x14ac:dyDescent="0.2">
      <c r="A81" s="108" t="s">
        <v>13</v>
      </c>
      <c r="B81" s="107" t="s">
        <v>255</v>
      </c>
      <c r="C81" s="70" t="s">
        <v>257</v>
      </c>
      <c r="D81" s="70" t="s">
        <v>219</v>
      </c>
      <c r="E81" s="22" t="s">
        <v>97</v>
      </c>
      <c r="F81" s="21"/>
      <c r="G81" s="72" t="s">
        <v>204</v>
      </c>
      <c r="H81" s="21"/>
    </row>
    <row r="82" spans="1:8" x14ac:dyDescent="0.2">
      <c r="A82" s="108" t="s">
        <v>11</v>
      </c>
      <c r="B82" s="107" t="s">
        <v>255</v>
      </c>
      <c r="C82" s="70" t="s">
        <v>211</v>
      </c>
      <c r="D82" s="70" t="s">
        <v>218</v>
      </c>
      <c r="E82" s="22" t="s">
        <v>97</v>
      </c>
      <c r="F82" s="21"/>
      <c r="G82" s="72" t="s">
        <v>204</v>
      </c>
      <c r="H82" s="21"/>
    </row>
    <row r="83" spans="1:8" x14ac:dyDescent="0.2">
      <c r="A83" s="108" t="s">
        <v>13</v>
      </c>
      <c r="B83" s="107" t="s">
        <v>255</v>
      </c>
      <c r="C83" s="70" t="s">
        <v>252</v>
      </c>
      <c r="D83" s="70" t="s">
        <v>246</v>
      </c>
      <c r="E83" s="22" t="s">
        <v>97</v>
      </c>
      <c r="F83" s="21"/>
      <c r="G83" s="72" t="s">
        <v>204</v>
      </c>
      <c r="H83" s="21"/>
    </row>
    <row r="84" spans="1:8" x14ac:dyDescent="0.2">
      <c r="A84" s="108" t="s">
        <v>13</v>
      </c>
      <c r="B84" s="107" t="s">
        <v>255</v>
      </c>
      <c r="C84" s="70" t="s">
        <v>253</v>
      </c>
      <c r="D84" s="70" t="s">
        <v>246</v>
      </c>
      <c r="E84" s="22" t="s">
        <v>97</v>
      </c>
      <c r="F84" s="21"/>
      <c r="G84" s="72" t="s">
        <v>204</v>
      </c>
      <c r="H84" s="21"/>
    </row>
    <row r="85" spans="1:8" x14ac:dyDescent="0.2">
      <c r="A85" s="108" t="s">
        <v>11</v>
      </c>
      <c r="B85" s="107" t="s">
        <v>255</v>
      </c>
      <c r="C85" s="70" t="s">
        <v>254</v>
      </c>
      <c r="D85" s="70" t="s">
        <v>246</v>
      </c>
      <c r="E85" s="22" t="s">
        <v>97</v>
      </c>
      <c r="F85" s="21"/>
      <c r="G85" s="72" t="s">
        <v>204</v>
      </c>
      <c r="H85" s="21"/>
    </row>
    <row r="86" spans="1:8" x14ac:dyDescent="0.2">
      <c r="A86" s="108" t="s">
        <v>11</v>
      </c>
      <c r="B86" s="107" t="s">
        <v>255</v>
      </c>
      <c r="C86" s="70" t="s">
        <v>458</v>
      </c>
      <c r="D86" s="70" t="s">
        <v>432</v>
      </c>
      <c r="E86" s="22" t="s">
        <v>97</v>
      </c>
      <c r="F86" s="21"/>
      <c r="G86" s="72" t="s">
        <v>204</v>
      </c>
      <c r="H86" s="21"/>
    </row>
    <row r="87" spans="1:8" x14ac:dyDescent="0.2">
      <c r="A87" s="108" t="s">
        <v>11</v>
      </c>
      <c r="B87" s="107" t="s">
        <v>255</v>
      </c>
      <c r="C87" s="70" t="s">
        <v>459</v>
      </c>
      <c r="D87" s="70" t="s">
        <v>435</v>
      </c>
      <c r="E87" s="22" t="s">
        <v>97</v>
      </c>
      <c r="F87" s="21"/>
      <c r="G87" s="72" t="s">
        <v>204</v>
      </c>
      <c r="H87" s="21"/>
    </row>
    <row r="88" spans="1:8" x14ac:dyDescent="0.2">
      <c r="A88" s="108" t="s">
        <v>172</v>
      </c>
      <c r="B88" s="107" t="s">
        <v>255</v>
      </c>
      <c r="C88" s="70" t="s">
        <v>258</v>
      </c>
      <c r="D88" s="70" t="s">
        <v>456</v>
      </c>
      <c r="E88" s="22" t="s">
        <v>97</v>
      </c>
      <c r="F88" s="21"/>
      <c r="G88" s="72" t="s">
        <v>204</v>
      </c>
      <c r="H88" s="21"/>
    </row>
    <row r="89" spans="1:8" x14ac:dyDescent="0.2">
      <c r="A89" s="108" t="s">
        <v>13</v>
      </c>
      <c r="B89" s="107" t="s">
        <v>255</v>
      </c>
      <c r="C89" s="70" t="s">
        <v>243</v>
      </c>
      <c r="D89" s="70" t="s">
        <v>244</v>
      </c>
      <c r="E89" s="22" t="s">
        <v>92</v>
      </c>
      <c r="F89" s="21"/>
      <c r="G89" s="72" t="s">
        <v>204</v>
      </c>
      <c r="H89" s="21"/>
    </row>
    <row r="90" spans="1:8" x14ac:dyDescent="0.2">
      <c r="A90" s="108" t="s">
        <v>11</v>
      </c>
      <c r="B90" s="107" t="s">
        <v>255</v>
      </c>
      <c r="C90" s="70" t="s">
        <v>245</v>
      </c>
      <c r="D90" s="70" t="s">
        <v>246</v>
      </c>
      <c r="E90" s="22" t="s">
        <v>97</v>
      </c>
      <c r="F90" s="21"/>
      <c r="G90" s="72" t="s">
        <v>204</v>
      </c>
      <c r="H90" s="21"/>
    </row>
    <row r="91" spans="1:8" x14ac:dyDescent="0.2">
      <c r="A91" s="108" t="s">
        <v>13</v>
      </c>
      <c r="B91" s="107" t="s">
        <v>255</v>
      </c>
      <c r="C91" s="70" t="s">
        <v>247</v>
      </c>
      <c r="D91" s="70" t="s">
        <v>248</v>
      </c>
      <c r="E91" s="22" t="s">
        <v>88</v>
      </c>
      <c r="F91" s="21"/>
      <c r="G91" s="72" t="s">
        <v>204</v>
      </c>
      <c r="H91" s="21"/>
    </row>
    <row r="92" spans="1:8" x14ac:dyDescent="0.2">
      <c r="A92" s="108" t="s">
        <v>13</v>
      </c>
      <c r="B92" s="107" t="s">
        <v>255</v>
      </c>
      <c r="C92" s="70" t="s">
        <v>249</v>
      </c>
      <c r="D92" s="70" t="s">
        <v>248</v>
      </c>
      <c r="E92" s="22" t="s">
        <v>88</v>
      </c>
      <c r="F92" s="21"/>
      <c r="G92" s="72" t="s">
        <v>204</v>
      </c>
      <c r="H92" s="21"/>
    </row>
    <row r="93" spans="1:8" x14ac:dyDescent="0.2">
      <c r="A93" s="108" t="s">
        <v>13</v>
      </c>
      <c r="B93" s="107" t="s">
        <v>255</v>
      </c>
      <c r="C93" s="70" t="s">
        <v>259</v>
      </c>
      <c r="D93" s="70" t="s">
        <v>455</v>
      </c>
      <c r="E93" s="22" t="s">
        <v>90</v>
      </c>
      <c r="F93" s="21"/>
      <c r="G93" s="72" t="s">
        <v>204</v>
      </c>
      <c r="H93" s="21"/>
    </row>
    <row r="94" spans="1:8" x14ac:dyDescent="0.2">
      <c r="A94" s="108" t="s">
        <v>13</v>
      </c>
      <c r="B94" s="107" t="s">
        <v>255</v>
      </c>
      <c r="C94" s="70" t="s">
        <v>260</v>
      </c>
      <c r="D94" s="70" t="s">
        <v>454</v>
      </c>
      <c r="E94" s="22" t="s">
        <v>90</v>
      </c>
      <c r="F94" s="21"/>
      <c r="G94" s="72" t="s">
        <v>204</v>
      </c>
      <c r="H94" s="21"/>
    </row>
    <row r="95" spans="1:8" x14ac:dyDescent="0.2">
      <c r="A95" s="108" t="s">
        <v>11</v>
      </c>
      <c r="B95" s="107" t="s">
        <v>255</v>
      </c>
      <c r="C95" s="70" t="s">
        <v>441</v>
      </c>
      <c r="D95" s="70" t="s">
        <v>214</v>
      </c>
      <c r="E95" s="22" t="s">
        <v>97</v>
      </c>
      <c r="F95" s="21"/>
      <c r="G95" s="72" t="s">
        <v>204</v>
      </c>
      <c r="H95" s="21"/>
    </row>
    <row r="96" spans="1:8" x14ac:dyDescent="0.2">
      <c r="A96" s="108" t="s">
        <v>11</v>
      </c>
      <c r="B96" s="107" t="s">
        <v>255</v>
      </c>
      <c r="C96" s="70" t="s">
        <v>442</v>
      </c>
      <c r="D96" s="70" t="s">
        <v>443</v>
      </c>
      <c r="E96" s="22" t="s">
        <v>97</v>
      </c>
      <c r="F96" s="21"/>
      <c r="G96" s="72" t="s">
        <v>204</v>
      </c>
      <c r="H96" s="21"/>
    </row>
    <row r="97" spans="1:8" x14ac:dyDescent="0.2">
      <c r="A97" s="108" t="s">
        <v>13</v>
      </c>
      <c r="B97" s="107" t="s">
        <v>255</v>
      </c>
      <c r="C97" s="70" t="s">
        <v>446</v>
      </c>
      <c r="D97" s="70" t="s">
        <v>435</v>
      </c>
      <c r="E97" s="22" t="s">
        <v>97</v>
      </c>
      <c r="F97" s="21"/>
      <c r="G97" s="72" t="s">
        <v>204</v>
      </c>
      <c r="H97" s="21"/>
    </row>
    <row r="98" spans="1:8" x14ac:dyDescent="0.2">
      <c r="A98" s="108" t="s">
        <v>13</v>
      </c>
      <c r="B98" s="107" t="s">
        <v>255</v>
      </c>
      <c r="C98" s="70" t="s">
        <v>448</v>
      </c>
      <c r="D98" s="70" t="s">
        <v>246</v>
      </c>
      <c r="E98" s="22" t="s">
        <v>97</v>
      </c>
      <c r="F98" s="21"/>
      <c r="G98" s="72" t="s">
        <v>204</v>
      </c>
      <c r="H98" s="21"/>
    </row>
    <row r="99" spans="1:8" x14ac:dyDescent="0.2">
      <c r="A99" s="108" t="s">
        <v>11</v>
      </c>
      <c r="B99" s="107" t="s">
        <v>255</v>
      </c>
      <c r="C99" s="70" t="s">
        <v>447</v>
      </c>
      <c r="D99" s="70" t="s">
        <v>432</v>
      </c>
      <c r="E99" s="22" t="s">
        <v>97</v>
      </c>
      <c r="F99" s="21"/>
      <c r="G99" s="72" t="s">
        <v>204</v>
      </c>
      <c r="H99" s="21"/>
    </row>
    <row r="100" spans="1:8" x14ac:dyDescent="0.2">
      <c r="A100" s="108" t="s">
        <v>13</v>
      </c>
      <c r="B100" s="107" t="s">
        <v>255</v>
      </c>
      <c r="C100" s="70" t="s">
        <v>444</v>
      </c>
      <c r="D100" s="70" t="s">
        <v>445</v>
      </c>
      <c r="E100" s="22" t="s">
        <v>86</v>
      </c>
      <c r="F100" s="21"/>
      <c r="G100" s="72" t="s">
        <v>204</v>
      </c>
      <c r="H100" s="21"/>
    </row>
    <row r="101" spans="1:8" x14ac:dyDescent="0.2">
      <c r="A101" s="108" t="s">
        <v>11</v>
      </c>
      <c r="B101" s="107" t="s">
        <v>255</v>
      </c>
      <c r="C101" s="70" t="s">
        <v>270</v>
      </c>
      <c r="D101" s="70" t="s">
        <v>246</v>
      </c>
      <c r="E101" s="22" t="s">
        <v>97</v>
      </c>
      <c r="F101" s="21"/>
      <c r="G101" s="72" t="s">
        <v>204</v>
      </c>
      <c r="H101" s="21"/>
    </row>
    <row r="102" spans="1:8" x14ac:dyDescent="0.2">
      <c r="A102" s="108" t="s">
        <v>13</v>
      </c>
      <c r="B102" s="107" t="s">
        <v>255</v>
      </c>
      <c r="C102" s="70" t="s">
        <v>382</v>
      </c>
      <c r="D102" s="70" t="s">
        <v>381</v>
      </c>
      <c r="E102" s="22" t="s">
        <v>88</v>
      </c>
      <c r="F102" s="21"/>
      <c r="G102" s="72" t="s">
        <v>204</v>
      </c>
      <c r="H102" s="21"/>
    </row>
    <row r="103" spans="1:8" x14ac:dyDescent="0.2">
      <c r="A103" s="108" t="s">
        <v>11</v>
      </c>
      <c r="B103" s="107" t="s">
        <v>255</v>
      </c>
      <c r="C103" s="70" t="s">
        <v>449</v>
      </c>
      <c r="D103" s="70" t="s">
        <v>392</v>
      </c>
      <c r="E103" s="22" t="s">
        <v>88</v>
      </c>
      <c r="F103" s="21"/>
      <c r="G103" s="72" t="s">
        <v>204</v>
      </c>
      <c r="H103" s="21"/>
    </row>
    <row r="104" spans="1:8" x14ac:dyDescent="0.2">
      <c r="A104" s="108" t="s">
        <v>172</v>
      </c>
      <c r="B104" s="107" t="s">
        <v>255</v>
      </c>
      <c r="C104" s="70" t="s">
        <v>390</v>
      </c>
      <c r="D104" s="70" t="s">
        <v>246</v>
      </c>
      <c r="E104" s="22" t="s">
        <v>88</v>
      </c>
      <c r="F104" s="21"/>
      <c r="G104" s="72" t="s">
        <v>204</v>
      </c>
      <c r="H104" s="21"/>
    </row>
    <row r="105" spans="1:8" x14ac:dyDescent="0.2">
      <c r="A105" s="108" t="s">
        <v>13</v>
      </c>
      <c r="B105" s="107" t="s">
        <v>255</v>
      </c>
      <c r="C105" s="70" t="s">
        <v>383</v>
      </c>
      <c r="D105" s="70" t="s">
        <v>384</v>
      </c>
      <c r="E105" s="22" t="s">
        <v>92</v>
      </c>
      <c r="F105" s="21"/>
      <c r="G105" s="72" t="s">
        <v>204</v>
      </c>
      <c r="H105" s="21"/>
    </row>
    <row r="106" spans="1:8" x14ac:dyDescent="0.2">
      <c r="A106" s="108" t="s">
        <v>172</v>
      </c>
      <c r="B106" s="107" t="s">
        <v>255</v>
      </c>
      <c r="C106" s="70" t="s">
        <v>393</v>
      </c>
      <c r="D106" s="70" t="s">
        <v>246</v>
      </c>
      <c r="E106" s="22" t="s">
        <v>88</v>
      </c>
      <c r="F106" s="21"/>
      <c r="G106" s="72" t="s">
        <v>204</v>
      </c>
      <c r="H106" s="21"/>
    </row>
    <row r="107" spans="1:8" x14ac:dyDescent="0.2">
      <c r="A107" s="108" t="s">
        <v>13</v>
      </c>
      <c r="B107" s="107" t="s">
        <v>272</v>
      </c>
      <c r="C107" s="70" t="s">
        <v>273</v>
      </c>
      <c r="D107" s="70" t="s">
        <v>274</v>
      </c>
      <c r="E107" s="22" t="s">
        <v>92</v>
      </c>
      <c r="F107" s="21"/>
      <c r="G107" s="72" t="s">
        <v>204</v>
      </c>
      <c r="H107" s="21"/>
    </row>
    <row r="108" spans="1:8" x14ac:dyDescent="0.2">
      <c r="A108" s="108" t="s">
        <v>11</v>
      </c>
      <c r="B108" s="107" t="s">
        <v>272</v>
      </c>
      <c r="C108" s="70" t="s">
        <v>395</v>
      </c>
      <c r="D108" s="70" t="s">
        <v>394</v>
      </c>
      <c r="E108" s="22" t="s">
        <v>97</v>
      </c>
      <c r="F108" s="21"/>
      <c r="G108" s="72" t="s">
        <v>204</v>
      </c>
      <c r="H108" s="21"/>
    </row>
    <row r="109" spans="1:8" x14ac:dyDescent="0.2">
      <c r="A109" s="108" t="s">
        <v>11</v>
      </c>
      <c r="B109" s="107" t="s">
        <v>272</v>
      </c>
      <c r="C109" s="70" t="s">
        <v>396</v>
      </c>
      <c r="D109" s="70" t="s">
        <v>397</v>
      </c>
      <c r="E109" s="22" t="s">
        <v>97</v>
      </c>
      <c r="F109" s="21"/>
      <c r="G109" s="72" t="s">
        <v>204</v>
      </c>
      <c r="H109" s="21"/>
    </row>
    <row r="110" spans="1:8" x14ac:dyDescent="0.2">
      <c r="A110" s="108" t="s">
        <v>11</v>
      </c>
      <c r="B110" s="107" t="s">
        <v>272</v>
      </c>
      <c r="C110" s="70" t="s">
        <v>398</v>
      </c>
      <c r="D110" s="70" t="s">
        <v>399</v>
      </c>
      <c r="E110" s="22" t="s">
        <v>97</v>
      </c>
      <c r="F110" s="21"/>
      <c r="G110" s="72" t="s">
        <v>204</v>
      </c>
      <c r="H110" s="21"/>
    </row>
    <row r="111" spans="1:8" x14ac:dyDescent="0.2">
      <c r="A111" s="108" t="s">
        <v>11</v>
      </c>
      <c r="B111" s="107" t="s">
        <v>272</v>
      </c>
      <c r="C111" s="70" t="s">
        <v>400</v>
      </c>
      <c r="D111" s="70" t="s">
        <v>401</v>
      </c>
      <c r="E111" s="22" t="s">
        <v>97</v>
      </c>
      <c r="F111" s="21"/>
      <c r="G111" s="72" t="s">
        <v>204</v>
      </c>
      <c r="H111" s="21"/>
    </row>
    <row r="112" spans="1:8" x14ac:dyDescent="0.2">
      <c r="A112" s="108" t="s">
        <v>11</v>
      </c>
      <c r="B112" s="107" t="s">
        <v>272</v>
      </c>
      <c r="C112" s="70" t="s">
        <v>402</v>
      </c>
      <c r="D112" s="70" t="s">
        <v>405</v>
      </c>
      <c r="E112" s="22" t="s">
        <v>97</v>
      </c>
      <c r="F112" s="21"/>
      <c r="G112" s="72" t="s">
        <v>204</v>
      </c>
      <c r="H112" s="21"/>
    </row>
    <row r="113" spans="1:8" x14ac:dyDescent="0.2">
      <c r="A113" s="108" t="s">
        <v>11</v>
      </c>
      <c r="B113" s="107" t="s">
        <v>272</v>
      </c>
      <c r="C113" s="70" t="s">
        <v>403</v>
      </c>
      <c r="D113" s="70" t="s">
        <v>405</v>
      </c>
      <c r="E113" s="22" t="s">
        <v>97</v>
      </c>
      <c r="F113" s="21"/>
      <c r="G113" s="72" t="s">
        <v>204</v>
      </c>
      <c r="H113" s="21"/>
    </row>
    <row r="114" spans="1:8" x14ac:dyDescent="0.2">
      <c r="A114" s="108" t="s">
        <v>11</v>
      </c>
      <c r="B114" s="107" t="s">
        <v>272</v>
      </c>
      <c r="C114" s="70" t="s">
        <v>404</v>
      </c>
      <c r="D114" s="70" t="s">
        <v>405</v>
      </c>
      <c r="E114" s="22" t="s">
        <v>97</v>
      </c>
      <c r="F114" s="21"/>
      <c r="G114" s="72" t="s">
        <v>204</v>
      </c>
      <c r="H114" s="21"/>
    </row>
    <row r="115" spans="1:8" x14ac:dyDescent="0.2">
      <c r="A115" s="108" t="s">
        <v>11</v>
      </c>
      <c r="B115" s="107" t="s">
        <v>272</v>
      </c>
      <c r="C115" s="70" t="s">
        <v>408</v>
      </c>
      <c r="D115" s="70" t="s">
        <v>457</v>
      </c>
      <c r="E115" s="22" t="s">
        <v>97</v>
      </c>
      <c r="F115" s="21"/>
      <c r="G115" s="72" t="s">
        <v>204</v>
      </c>
      <c r="H115" s="21"/>
    </row>
    <row r="116" spans="1:8" x14ac:dyDescent="0.2">
      <c r="A116" s="108" t="s">
        <v>11</v>
      </c>
      <c r="B116" s="107" t="s">
        <v>272</v>
      </c>
      <c r="C116" s="70" t="s">
        <v>409</v>
      </c>
      <c r="D116" s="70" t="s">
        <v>457</v>
      </c>
      <c r="E116" s="22" t="s">
        <v>97</v>
      </c>
      <c r="F116" s="21"/>
      <c r="G116" s="72" t="s">
        <v>204</v>
      </c>
      <c r="H116" s="21"/>
    </row>
    <row r="117" spans="1:8" x14ac:dyDescent="0.2">
      <c r="A117" s="108" t="s">
        <v>11</v>
      </c>
      <c r="B117" s="107" t="s">
        <v>272</v>
      </c>
      <c r="C117" s="70" t="s">
        <v>411</v>
      </c>
      <c r="D117" s="70" t="s">
        <v>457</v>
      </c>
      <c r="E117" s="22" t="s">
        <v>97</v>
      </c>
      <c r="F117" s="21"/>
      <c r="G117" s="72" t="s">
        <v>204</v>
      </c>
      <c r="H117" s="21"/>
    </row>
    <row r="118" spans="1:8" x14ac:dyDescent="0.2">
      <c r="A118" s="108" t="s">
        <v>11</v>
      </c>
      <c r="B118" s="107" t="s">
        <v>272</v>
      </c>
      <c r="C118" s="70" t="s">
        <v>412</v>
      </c>
      <c r="D118" s="70" t="s">
        <v>457</v>
      </c>
      <c r="E118" s="22" t="s">
        <v>97</v>
      </c>
      <c r="F118" s="21"/>
      <c r="G118" s="72" t="s">
        <v>204</v>
      </c>
      <c r="H118" s="21"/>
    </row>
    <row r="119" spans="1:8" x14ac:dyDescent="0.2">
      <c r="A119" s="108" t="s">
        <v>11</v>
      </c>
      <c r="B119" s="107" t="s">
        <v>272</v>
      </c>
      <c r="C119" s="70" t="s">
        <v>410</v>
      </c>
      <c r="D119" s="70" t="s">
        <v>457</v>
      </c>
      <c r="E119" s="22" t="s">
        <v>97</v>
      </c>
      <c r="F119" s="21"/>
      <c r="G119" s="72" t="s">
        <v>204</v>
      </c>
      <c r="H119" s="21"/>
    </row>
    <row r="120" spans="1:8" x14ac:dyDescent="0.2">
      <c r="A120" s="108" t="s">
        <v>11</v>
      </c>
      <c r="B120" s="107" t="s">
        <v>272</v>
      </c>
      <c r="C120" s="70" t="s">
        <v>413</v>
      </c>
      <c r="D120" s="70" t="s">
        <v>457</v>
      </c>
      <c r="E120" s="22" t="s">
        <v>97</v>
      </c>
      <c r="F120" s="21"/>
      <c r="G120" s="72" t="s">
        <v>204</v>
      </c>
      <c r="H120" s="21"/>
    </row>
    <row r="121" spans="1:8" x14ac:dyDescent="0.2">
      <c r="A121" s="108" t="s">
        <v>11</v>
      </c>
      <c r="B121" s="107" t="s">
        <v>272</v>
      </c>
      <c r="C121" s="70" t="s">
        <v>414</v>
      </c>
      <c r="D121" s="70" t="s">
        <v>415</v>
      </c>
      <c r="E121" s="22" t="s">
        <v>97</v>
      </c>
      <c r="F121" s="21"/>
      <c r="G121" s="72" t="s">
        <v>204</v>
      </c>
      <c r="H121" s="21"/>
    </row>
    <row r="122" spans="1:8" x14ac:dyDescent="0.2">
      <c r="A122" s="108" t="s">
        <v>11</v>
      </c>
      <c r="B122" s="107" t="s">
        <v>272</v>
      </c>
      <c r="C122" s="70" t="s">
        <v>406</v>
      </c>
      <c r="D122" s="70" t="s">
        <v>407</v>
      </c>
      <c r="E122" s="22" t="s">
        <v>97</v>
      </c>
      <c r="F122" s="21"/>
      <c r="G122" s="72" t="s">
        <v>204</v>
      </c>
      <c r="H122" s="21"/>
    </row>
    <row r="123" spans="1:8" x14ac:dyDescent="0.2">
      <c r="A123" s="108" t="s">
        <v>13</v>
      </c>
      <c r="B123" s="107" t="s">
        <v>272</v>
      </c>
      <c r="C123" s="70" t="s">
        <v>416</v>
      </c>
      <c r="D123" s="70" t="s">
        <v>417</v>
      </c>
      <c r="E123" s="22" t="s">
        <v>92</v>
      </c>
      <c r="F123" s="21"/>
      <c r="G123" s="72" t="s">
        <v>204</v>
      </c>
      <c r="H123" s="21"/>
    </row>
    <row r="124" spans="1:8" x14ac:dyDescent="0.2">
      <c r="A124" s="108" t="s">
        <v>11</v>
      </c>
      <c r="B124" s="107" t="s">
        <v>272</v>
      </c>
      <c r="C124" s="70" t="s">
        <v>420</v>
      </c>
      <c r="D124" s="70" t="s">
        <v>421</v>
      </c>
      <c r="E124" s="22" t="s">
        <v>97</v>
      </c>
      <c r="F124" s="21"/>
      <c r="G124" s="72" t="s">
        <v>204</v>
      </c>
      <c r="H124" s="21"/>
    </row>
    <row r="125" spans="1:8" x14ac:dyDescent="0.2">
      <c r="A125" s="108" t="s">
        <v>11</v>
      </c>
      <c r="B125" s="107" t="s">
        <v>272</v>
      </c>
      <c r="C125" s="70" t="s">
        <v>418</v>
      </c>
      <c r="D125" s="70" t="s">
        <v>419</v>
      </c>
      <c r="E125" s="22" t="s">
        <v>97</v>
      </c>
      <c r="F125" s="21"/>
      <c r="G125" s="72" t="s">
        <v>204</v>
      </c>
      <c r="H125" s="21"/>
    </row>
    <row r="126" spans="1:8" x14ac:dyDescent="0.2">
      <c r="A126" s="108" t="s">
        <v>13</v>
      </c>
      <c r="B126" s="107" t="s">
        <v>272</v>
      </c>
      <c r="C126" s="70" t="s">
        <v>450</v>
      </c>
      <c r="D126" s="70" t="s">
        <v>451</v>
      </c>
      <c r="E126" s="22" t="s">
        <v>90</v>
      </c>
      <c r="F126" s="21"/>
      <c r="G126" s="72" t="s">
        <v>204</v>
      </c>
      <c r="H126" s="21"/>
    </row>
    <row r="127" spans="1:8" x14ac:dyDescent="0.2">
      <c r="A127" s="108" t="s">
        <v>11</v>
      </c>
      <c r="B127" s="107" t="s">
        <v>272</v>
      </c>
      <c r="C127" s="70" t="s">
        <v>422</v>
      </c>
      <c r="D127" s="70" t="s">
        <v>457</v>
      </c>
      <c r="E127" s="22" t="s">
        <v>97</v>
      </c>
      <c r="F127" s="21"/>
      <c r="G127" s="72" t="s">
        <v>204</v>
      </c>
      <c r="H127" s="21"/>
    </row>
    <row r="128" spans="1:8" x14ac:dyDescent="0.2">
      <c r="A128" s="108" t="s">
        <v>13</v>
      </c>
      <c r="B128" s="107" t="s">
        <v>359</v>
      </c>
      <c r="C128" s="70" t="s">
        <v>360</v>
      </c>
      <c r="D128" s="70" t="s">
        <v>361</v>
      </c>
      <c r="E128" s="22" t="s">
        <v>92</v>
      </c>
      <c r="F128" s="21"/>
      <c r="G128" s="72" t="s">
        <v>204</v>
      </c>
      <c r="H128" s="21"/>
    </row>
    <row r="129" spans="1:8" x14ac:dyDescent="0.2">
      <c r="A129" s="69"/>
      <c r="B129" s="69" t="s">
        <v>226</v>
      </c>
      <c r="C129" s="69"/>
      <c r="D129" s="69"/>
      <c r="E129" s="69"/>
      <c r="F129" s="69"/>
      <c r="G129" s="69"/>
      <c r="H129" s="69"/>
    </row>
    <row r="130" spans="1:8" x14ac:dyDescent="0.2">
      <c r="A130" s="108" t="s">
        <v>11</v>
      </c>
      <c r="B130" s="107" t="s">
        <v>207</v>
      </c>
      <c r="C130" s="70" t="s">
        <v>222</v>
      </c>
      <c r="D130" s="70" t="s">
        <v>223</v>
      </c>
      <c r="E130" s="22" t="s">
        <v>97</v>
      </c>
      <c r="F130" s="21"/>
      <c r="G130" s="72" t="s">
        <v>204</v>
      </c>
      <c r="H130" s="21"/>
    </row>
    <row r="131" spans="1:8" x14ac:dyDescent="0.2">
      <c r="A131" s="108" t="s">
        <v>11</v>
      </c>
      <c r="B131" s="107" t="s">
        <v>207</v>
      </c>
      <c r="C131" s="70" t="s">
        <v>241</v>
      </c>
      <c r="D131" s="70" t="s">
        <v>242</v>
      </c>
      <c r="E131" s="22" t="s">
        <v>97</v>
      </c>
      <c r="F131" s="21"/>
      <c r="G131" s="72" t="s">
        <v>204</v>
      </c>
      <c r="H131" s="21"/>
    </row>
    <row r="132" spans="1:8" x14ac:dyDescent="0.2">
      <c r="A132" s="108" t="s">
        <v>11</v>
      </c>
      <c r="B132" s="107" t="s">
        <v>207</v>
      </c>
      <c r="C132" s="70" t="s">
        <v>224</v>
      </c>
      <c r="D132" s="70" t="s">
        <v>225</v>
      </c>
      <c r="E132" s="22" t="s">
        <v>97</v>
      </c>
      <c r="F132" s="21"/>
      <c r="G132" s="72" t="s">
        <v>204</v>
      </c>
      <c r="H132" s="21"/>
    </row>
    <row r="133" spans="1:8" x14ac:dyDescent="0.2">
      <c r="A133" s="108" t="s">
        <v>11</v>
      </c>
      <c r="B133" s="107" t="s">
        <v>207</v>
      </c>
      <c r="C133" s="70" t="s">
        <v>467</v>
      </c>
      <c r="D133" s="70" t="s">
        <v>468</v>
      </c>
      <c r="E133" s="22" t="s">
        <v>97</v>
      </c>
      <c r="F133" s="21"/>
      <c r="G133" s="72" t="s">
        <v>204</v>
      </c>
      <c r="H133" s="21"/>
    </row>
    <row r="134" spans="1:8" x14ac:dyDescent="0.2">
      <c r="A134" s="108" t="s">
        <v>11</v>
      </c>
      <c r="B134" s="107" t="s">
        <v>207</v>
      </c>
      <c r="C134" s="70" t="s">
        <v>473</v>
      </c>
      <c r="D134" s="70" t="s">
        <v>474</v>
      </c>
      <c r="E134" s="22" t="s">
        <v>97</v>
      </c>
      <c r="F134" s="21"/>
      <c r="G134" s="72" t="s">
        <v>204</v>
      </c>
      <c r="H134" s="21"/>
    </row>
    <row r="135" spans="1:8" x14ac:dyDescent="0.2">
      <c r="A135" s="108" t="s">
        <v>11</v>
      </c>
      <c r="B135" s="107" t="s">
        <v>207</v>
      </c>
      <c r="C135" s="70" t="s">
        <v>471</v>
      </c>
      <c r="D135" s="70" t="s">
        <v>472</v>
      </c>
      <c r="E135" s="22" t="s">
        <v>97</v>
      </c>
      <c r="F135" s="21"/>
      <c r="G135" s="72" t="s">
        <v>204</v>
      </c>
      <c r="H135" s="21"/>
    </row>
    <row r="136" spans="1:8" x14ac:dyDescent="0.2">
      <c r="A136" s="108" t="s">
        <v>11</v>
      </c>
      <c r="B136" s="107" t="s">
        <v>207</v>
      </c>
      <c r="C136" s="70" t="s">
        <v>469</v>
      </c>
      <c r="D136" s="70" t="s">
        <v>470</v>
      </c>
      <c r="E136" s="22" t="s">
        <v>97</v>
      </c>
      <c r="F136" s="21"/>
      <c r="G136" s="72" t="s">
        <v>204</v>
      </c>
      <c r="H136" s="21"/>
    </row>
    <row r="137" spans="1:8" x14ac:dyDescent="0.2">
      <c r="A137" s="108" t="s">
        <v>11</v>
      </c>
      <c r="B137" s="107" t="s">
        <v>207</v>
      </c>
      <c r="C137" s="70" t="s">
        <v>264</v>
      </c>
      <c r="D137" s="70" t="s">
        <v>217</v>
      </c>
      <c r="E137" s="22" t="s">
        <v>97</v>
      </c>
      <c r="F137" s="21"/>
      <c r="G137" s="72" t="s">
        <v>204</v>
      </c>
      <c r="H137" s="21"/>
    </row>
    <row r="138" spans="1:8" x14ac:dyDescent="0.2">
      <c r="A138" s="108" t="s">
        <v>13</v>
      </c>
      <c r="B138" s="107" t="s">
        <v>207</v>
      </c>
      <c r="C138" s="70" t="s">
        <v>385</v>
      </c>
      <c r="D138" s="70" t="s">
        <v>386</v>
      </c>
      <c r="E138" s="22" t="s">
        <v>92</v>
      </c>
      <c r="F138" s="21"/>
      <c r="G138" s="72" t="s">
        <v>204</v>
      </c>
      <c r="H138" s="21"/>
    </row>
    <row r="139" spans="1:8" x14ac:dyDescent="0.2">
      <c r="A139" s="108" t="s">
        <v>11</v>
      </c>
      <c r="B139" s="107" t="s">
        <v>207</v>
      </c>
      <c r="C139" s="70" t="s">
        <v>263</v>
      </c>
      <c r="D139" s="70" t="s">
        <v>230</v>
      </c>
      <c r="E139" s="22" t="s">
        <v>97</v>
      </c>
      <c r="F139" s="21"/>
      <c r="G139" s="72" t="s">
        <v>204</v>
      </c>
      <c r="H139" s="21"/>
    </row>
    <row r="140" spans="1:8" x14ac:dyDescent="0.2">
      <c r="A140" s="108" t="s">
        <v>11</v>
      </c>
      <c r="B140" s="107" t="s">
        <v>207</v>
      </c>
      <c r="C140" s="70" t="s">
        <v>378</v>
      </c>
      <c r="D140" s="70" t="s">
        <v>379</v>
      </c>
      <c r="E140" s="22" t="s">
        <v>97</v>
      </c>
      <c r="F140" s="21"/>
      <c r="G140" s="72" t="s">
        <v>204</v>
      </c>
      <c r="H140" s="21"/>
    </row>
    <row r="141" spans="1:8" x14ac:dyDescent="0.2">
      <c r="A141" s="108" t="s">
        <v>11</v>
      </c>
      <c r="B141" s="107" t="s">
        <v>207</v>
      </c>
      <c r="C141" s="70" t="s">
        <v>376</v>
      </c>
      <c r="D141" s="70" t="s">
        <v>377</v>
      </c>
      <c r="E141" s="22" t="s">
        <v>97</v>
      </c>
      <c r="F141" s="21"/>
      <c r="G141" s="72" t="s">
        <v>204</v>
      </c>
      <c r="H141" s="21"/>
    </row>
    <row r="142" spans="1:8" x14ac:dyDescent="0.2">
      <c r="A142" s="108" t="s">
        <v>11</v>
      </c>
      <c r="B142" s="107" t="s">
        <v>207</v>
      </c>
      <c r="C142" s="70" t="s">
        <v>227</v>
      </c>
      <c r="D142" s="70" t="s">
        <v>228</v>
      </c>
      <c r="E142" s="22" t="s">
        <v>97</v>
      </c>
      <c r="F142" s="21"/>
      <c r="G142" s="72" t="s">
        <v>204</v>
      </c>
      <c r="H142" s="21"/>
    </row>
    <row r="143" spans="1:8" x14ac:dyDescent="0.2">
      <c r="A143" s="108" t="s">
        <v>13</v>
      </c>
      <c r="B143" s="107" t="s">
        <v>207</v>
      </c>
      <c r="C143" s="70" t="s">
        <v>261</v>
      </c>
      <c r="D143" s="70" t="s">
        <v>262</v>
      </c>
      <c r="E143" s="22" t="s">
        <v>92</v>
      </c>
      <c r="F143" s="21"/>
      <c r="G143" s="72" t="s">
        <v>204</v>
      </c>
      <c r="H143" s="21"/>
    </row>
    <row r="144" spans="1:8" x14ac:dyDescent="0.2">
      <c r="A144" s="108" t="s">
        <v>11</v>
      </c>
      <c r="B144" s="107" t="s">
        <v>207</v>
      </c>
      <c r="C144" s="70" t="s">
        <v>481</v>
      </c>
      <c r="D144" s="70" t="s">
        <v>214</v>
      </c>
      <c r="E144" s="22" t="s">
        <v>97</v>
      </c>
      <c r="F144" s="21"/>
      <c r="G144" s="72" t="s">
        <v>204</v>
      </c>
      <c r="H144" s="21"/>
    </row>
    <row r="145" spans="1:8" x14ac:dyDescent="0.2">
      <c r="A145" s="108" t="s">
        <v>13</v>
      </c>
      <c r="B145" s="107" t="s">
        <v>207</v>
      </c>
      <c r="C145" s="70" t="s">
        <v>482</v>
      </c>
      <c r="D145" s="70" t="s">
        <v>483</v>
      </c>
      <c r="E145" s="22" t="s">
        <v>90</v>
      </c>
      <c r="F145" s="21"/>
      <c r="G145" s="72" t="s">
        <v>204</v>
      </c>
      <c r="H145" s="21"/>
    </row>
    <row r="146" spans="1:8" x14ac:dyDescent="0.2">
      <c r="A146" s="108" t="s">
        <v>11</v>
      </c>
      <c r="B146" s="107" t="s">
        <v>207</v>
      </c>
      <c r="C146" s="70" t="s">
        <v>300</v>
      </c>
      <c r="D146" s="70" t="s">
        <v>301</v>
      </c>
      <c r="E146" s="22" t="s">
        <v>97</v>
      </c>
      <c r="F146" s="21"/>
      <c r="G146" s="72" t="s">
        <v>204</v>
      </c>
      <c r="H146" s="21"/>
    </row>
    <row r="147" spans="1:8" x14ac:dyDescent="0.2">
      <c r="A147" s="108" t="s">
        <v>11</v>
      </c>
      <c r="B147" s="107" t="s">
        <v>207</v>
      </c>
      <c r="C147" s="70" t="s">
        <v>302</v>
      </c>
      <c r="D147" s="70" t="s">
        <v>303</v>
      </c>
      <c r="E147" s="22" t="s">
        <v>97</v>
      </c>
      <c r="F147" s="21"/>
      <c r="G147" s="72" t="s">
        <v>204</v>
      </c>
      <c r="H147" s="21"/>
    </row>
    <row r="148" spans="1:8" x14ac:dyDescent="0.2">
      <c r="A148" s="108" t="s">
        <v>11</v>
      </c>
      <c r="B148" s="107" t="s">
        <v>207</v>
      </c>
      <c r="C148" s="70" t="s">
        <v>304</v>
      </c>
      <c r="D148" s="70" t="s">
        <v>305</v>
      </c>
      <c r="E148" s="22" t="s">
        <v>97</v>
      </c>
      <c r="F148" s="21"/>
      <c r="G148" s="72" t="s">
        <v>204</v>
      </c>
      <c r="H148" s="21"/>
    </row>
    <row r="149" spans="1:8" x14ac:dyDescent="0.2">
      <c r="A149" s="108" t="s">
        <v>13</v>
      </c>
      <c r="B149" s="107" t="s">
        <v>207</v>
      </c>
      <c r="C149" s="70" t="s">
        <v>306</v>
      </c>
      <c r="D149" s="70" t="s">
        <v>307</v>
      </c>
      <c r="E149" s="22" t="s">
        <v>92</v>
      </c>
      <c r="F149" s="21"/>
      <c r="G149" s="72" t="s">
        <v>204</v>
      </c>
      <c r="H149" s="21"/>
    </row>
    <row r="150" spans="1:8" x14ac:dyDescent="0.2">
      <c r="A150" s="108" t="s">
        <v>11</v>
      </c>
      <c r="B150" s="107" t="s">
        <v>207</v>
      </c>
      <c r="C150" s="70" t="s">
        <v>484</v>
      </c>
      <c r="D150" s="70" t="s">
        <v>214</v>
      </c>
      <c r="E150" s="22" t="s">
        <v>97</v>
      </c>
      <c r="F150" s="21"/>
      <c r="G150" s="72" t="s">
        <v>204</v>
      </c>
      <c r="H150" s="21"/>
    </row>
    <row r="151" spans="1:8" x14ac:dyDescent="0.2">
      <c r="A151" s="108" t="s">
        <v>11</v>
      </c>
      <c r="B151" s="107" t="s">
        <v>207</v>
      </c>
      <c r="C151" s="70" t="s">
        <v>498</v>
      </c>
      <c r="D151" s="70" t="s">
        <v>499</v>
      </c>
      <c r="E151" s="22" t="s">
        <v>97</v>
      </c>
      <c r="F151" s="21"/>
      <c r="G151" s="72" t="s">
        <v>204</v>
      </c>
      <c r="H151" s="21"/>
    </row>
    <row r="152" spans="1:8" x14ac:dyDescent="0.2">
      <c r="A152" s="108" t="s">
        <v>11</v>
      </c>
      <c r="B152" s="107" t="s">
        <v>237</v>
      </c>
      <c r="C152" s="70" t="s">
        <v>485</v>
      </c>
      <c r="D152" s="70" t="s">
        <v>229</v>
      </c>
      <c r="E152" s="22" t="s">
        <v>97</v>
      </c>
      <c r="F152" s="21"/>
      <c r="G152" s="72" t="s">
        <v>204</v>
      </c>
      <c r="H152" s="21"/>
    </row>
    <row r="153" spans="1:8" x14ac:dyDescent="0.2">
      <c r="A153" s="108" t="s">
        <v>13</v>
      </c>
      <c r="B153" s="107" t="s">
        <v>237</v>
      </c>
      <c r="C153" s="70" t="s">
        <v>423</v>
      </c>
      <c r="D153" s="70" t="s">
        <v>424</v>
      </c>
      <c r="E153" s="22" t="s">
        <v>92</v>
      </c>
      <c r="F153" s="21"/>
      <c r="G153" s="72" t="s">
        <v>204</v>
      </c>
      <c r="H153" s="21"/>
    </row>
    <row r="154" spans="1:8" x14ac:dyDescent="0.2">
      <c r="A154" s="108" t="s">
        <v>11</v>
      </c>
      <c r="B154" s="107" t="s">
        <v>237</v>
      </c>
      <c r="C154" s="70" t="s">
        <v>486</v>
      </c>
      <c r="D154" s="70" t="s">
        <v>487</v>
      </c>
      <c r="E154" s="22" t="s">
        <v>90</v>
      </c>
      <c r="F154" s="21"/>
      <c r="G154" s="72" t="s">
        <v>204</v>
      </c>
      <c r="H154" s="21"/>
    </row>
    <row r="155" spans="1:8" x14ac:dyDescent="0.2">
      <c r="A155" s="108" t="s">
        <v>11</v>
      </c>
      <c r="B155" s="107" t="s">
        <v>237</v>
      </c>
      <c r="C155" s="70" t="s">
        <v>488</v>
      </c>
      <c r="D155" s="70" t="s">
        <v>489</v>
      </c>
      <c r="E155" s="22" t="s">
        <v>97</v>
      </c>
      <c r="F155" s="21"/>
      <c r="G155" s="72" t="s">
        <v>204</v>
      </c>
      <c r="H155" s="21"/>
    </row>
    <row r="156" spans="1:8" x14ac:dyDescent="0.2">
      <c r="A156" s="108" t="s">
        <v>11</v>
      </c>
      <c r="B156" s="107" t="s">
        <v>237</v>
      </c>
      <c r="C156" s="70" t="s">
        <v>490</v>
      </c>
      <c r="D156" s="70" t="s">
        <v>314</v>
      </c>
      <c r="E156" s="22" t="s">
        <v>97</v>
      </c>
      <c r="F156" s="21"/>
      <c r="G156" s="72" t="s">
        <v>204</v>
      </c>
      <c r="H156" s="21"/>
    </row>
    <row r="157" spans="1:8" x14ac:dyDescent="0.2">
      <c r="A157" s="108" t="s">
        <v>11</v>
      </c>
      <c r="B157" s="107" t="s">
        <v>237</v>
      </c>
      <c r="C157" s="70" t="s">
        <v>491</v>
      </c>
      <c r="D157" s="70" t="s">
        <v>492</v>
      </c>
      <c r="E157" s="22" t="s">
        <v>97</v>
      </c>
      <c r="F157" s="21"/>
      <c r="G157" s="72" t="s">
        <v>204</v>
      </c>
      <c r="H157" s="21"/>
    </row>
    <row r="158" spans="1:8" x14ac:dyDescent="0.2">
      <c r="A158" s="108" t="s">
        <v>11</v>
      </c>
      <c r="B158" s="107" t="s">
        <v>237</v>
      </c>
      <c r="C158" s="70" t="s">
        <v>493</v>
      </c>
      <c r="D158" s="70" t="s">
        <v>494</v>
      </c>
      <c r="E158" s="22" t="s">
        <v>97</v>
      </c>
      <c r="F158" s="21"/>
      <c r="G158" s="72" t="s">
        <v>204</v>
      </c>
      <c r="H158" s="21"/>
    </row>
    <row r="159" spans="1:8" x14ac:dyDescent="0.2">
      <c r="A159" s="108" t="s">
        <v>11</v>
      </c>
      <c r="B159" s="107" t="s">
        <v>237</v>
      </c>
      <c r="C159" s="70" t="s">
        <v>500</v>
      </c>
      <c r="D159" s="70" t="s">
        <v>236</v>
      </c>
      <c r="E159" s="22" t="s">
        <v>97</v>
      </c>
      <c r="F159" s="21"/>
      <c r="G159" s="72" t="s">
        <v>204</v>
      </c>
      <c r="H159" s="21"/>
    </row>
    <row r="160" spans="1:8" x14ac:dyDescent="0.2">
      <c r="A160" s="108" t="s">
        <v>11</v>
      </c>
      <c r="B160" s="107" t="s">
        <v>237</v>
      </c>
      <c r="C160" s="70" t="s">
        <v>495</v>
      </c>
      <c r="D160" s="70" t="s">
        <v>501</v>
      </c>
      <c r="E160" s="22" t="s">
        <v>97</v>
      </c>
      <c r="F160" s="21"/>
      <c r="G160" s="72" t="s">
        <v>204</v>
      </c>
      <c r="H160" s="21"/>
    </row>
    <row r="161" spans="1:8" x14ac:dyDescent="0.2">
      <c r="A161" s="108" t="s">
        <v>11</v>
      </c>
      <c r="B161" s="107" t="s">
        <v>237</v>
      </c>
      <c r="C161" s="70" t="s">
        <v>496</v>
      </c>
      <c r="D161" s="70" t="s">
        <v>497</v>
      </c>
      <c r="E161" s="22" t="s">
        <v>97</v>
      </c>
      <c r="F161" s="21"/>
      <c r="G161" s="72" t="s">
        <v>204</v>
      </c>
      <c r="H161" s="21"/>
    </row>
    <row r="162" spans="1:8" x14ac:dyDescent="0.2">
      <c r="A162" s="108" t="s">
        <v>13</v>
      </c>
      <c r="B162" s="107" t="s">
        <v>237</v>
      </c>
      <c r="C162" s="70" t="s">
        <v>502</v>
      </c>
      <c r="D162" s="70" t="s">
        <v>503</v>
      </c>
      <c r="E162" s="22" t="s">
        <v>97</v>
      </c>
      <c r="F162" s="21"/>
      <c r="G162" s="72" t="s">
        <v>204</v>
      </c>
      <c r="H162" s="21"/>
    </row>
    <row r="163" spans="1:8" x14ac:dyDescent="0.2">
      <c r="A163" s="108" t="s">
        <v>13</v>
      </c>
      <c r="B163" s="107" t="s">
        <v>237</v>
      </c>
      <c r="C163" s="70" t="s">
        <v>391</v>
      </c>
      <c r="D163" s="70" t="s">
        <v>392</v>
      </c>
      <c r="E163" s="22" t="s">
        <v>88</v>
      </c>
      <c r="F163" s="21"/>
      <c r="G163" s="72" t="s">
        <v>204</v>
      </c>
      <c r="H163" s="21"/>
    </row>
    <row r="164" spans="1:8" x14ac:dyDescent="0.2">
      <c r="A164" s="108" t="s">
        <v>11</v>
      </c>
      <c r="B164" s="107" t="s">
        <v>237</v>
      </c>
      <c r="C164" s="70" t="s">
        <v>504</v>
      </c>
      <c r="D164" s="70" t="s">
        <v>505</v>
      </c>
      <c r="E164" s="22" t="s">
        <v>90</v>
      </c>
      <c r="F164" s="21"/>
      <c r="G164" s="72" t="s">
        <v>204</v>
      </c>
      <c r="H164" s="21"/>
    </row>
    <row r="165" spans="1:8" x14ac:dyDescent="0.2">
      <c r="A165" s="108" t="s">
        <v>11</v>
      </c>
      <c r="B165" s="107" t="s">
        <v>237</v>
      </c>
      <c r="C165" s="70" t="s">
        <v>506</v>
      </c>
      <c r="D165" s="70" t="s">
        <v>505</v>
      </c>
      <c r="E165" s="22" t="s">
        <v>97</v>
      </c>
      <c r="F165" s="21"/>
      <c r="G165" s="72" t="s">
        <v>204</v>
      </c>
      <c r="H165" s="21"/>
    </row>
    <row r="166" spans="1:8" x14ac:dyDescent="0.2">
      <c r="A166" s="108" t="s">
        <v>11</v>
      </c>
      <c r="B166" s="107" t="s">
        <v>237</v>
      </c>
      <c r="C166" s="70" t="s">
        <v>507</v>
      </c>
      <c r="D166" s="70" t="s">
        <v>231</v>
      </c>
      <c r="E166" s="22" t="s">
        <v>97</v>
      </c>
      <c r="F166" s="21"/>
      <c r="G166" s="72" t="s">
        <v>204</v>
      </c>
      <c r="H166" s="21"/>
    </row>
    <row r="167" spans="1:8" x14ac:dyDescent="0.2">
      <c r="A167" s="108" t="s">
        <v>13</v>
      </c>
      <c r="B167" s="107" t="s">
        <v>237</v>
      </c>
      <c r="C167" s="70" t="s">
        <v>232</v>
      </c>
      <c r="D167" s="70" t="s">
        <v>233</v>
      </c>
      <c r="E167" s="22" t="s">
        <v>88</v>
      </c>
      <c r="F167" s="21"/>
      <c r="G167" s="72" t="s">
        <v>204</v>
      </c>
      <c r="H167" s="21"/>
    </row>
    <row r="168" spans="1:8" x14ac:dyDescent="0.2">
      <c r="A168" s="108" t="s">
        <v>13</v>
      </c>
      <c r="B168" s="107" t="s">
        <v>237</v>
      </c>
      <c r="C168" s="70" t="s">
        <v>508</v>
      </c>
      <c r="D168" s="70" t="s">
        <v>234</v>
      </c>
      <c r="E168" s="22" t="s">
        <v>90</v>
      </c>
      <c r="F168" s="21"/>
      <c r="G168" s="72" t="s">
        <v>204</v>
      </c>
      <c r="H168" s="21"/>
    </row>
    <row r="169" spans="1:8" x14ac:dyDescent="0.2">
      <c r="A169" s="108" t="s">
        <v>13</v>
      </c>
      <c r="B169" s="107" t="s">
        <v>237</v>
      </c>
      <c r="C169" s="70" t="s">
        <v>512</v>
      </c>
      <c r="D169" s="70" t="s">
        <v>235</v>
      </c>
      <c r="E169" s="22" t="s">
        <v>90</v>
      </c>
      <c r="F169" s="21"/>
      <c r="G169" s="72" t="s">
        <v>204</v>
      </c>
      <c r="H169" s="21"/>
    </row>
    <row r="170" spans="1:8" x14ac:dyDescent="0.2">
      <c r="A170" s="108" t="s">
        <v>13</v>
      </c>
      <c r="B170" s="107" t="s">
        <v>237</v>
      </c>
      <c r="C170" s="70" t="s">
        <v>513</v>
      </c>
      <c r="D170" s="70" t="s">
        <v>509</v>
      </c>
      <c r="E170" s="22" t="s">
        <v>90</v>
      </c>
      <c r="F170" s="21"/>
      <c r="G170" s="72" t="s">
        <v>204</v>
      </c>
      <c r="H170" s="21"/>
    </row>
    <row r="171" spans="1:8" x14ac:dyDescent="0.2">
      <c r="A171" s="108" t="s">
        <v>13</v>
      </c>
      <c r="B171" s="107" t="s">
        <v>237</v>
      </c>
      <c r="C171" s="70" t="s">
        <v>514</v>
      </c>
      <c r="D171" s="70" t="s">
        <v>510</v>
      </c>
      <c r="E171" s="22" t="s">
        <v>90</v>
      </c>
      <c r="F171" s="21"/>
      <c r="G171" s="72" t="s">
        <v>204</v>
      </c>
      <c r="H171" s="21"/>
    </row>
    <row r="172" spans="1:8" x14ac:dyDescent="0.2">
      <c r="A172" s="108" t="s">
        <v>13</v>
      </c>
      <c r="B172" s="107" t="s">
        <v>237</v>
      </c>
      <c r="C172" s="70" t="s">
        <v>515</v>
      </c>
      <c r="D172" s="70" t="s">
        <v>511</v>
      </c>
      <c r="E172" s="22" t="s">
        <v>90</v>
      </c>
      <c r="F172" s="21"/>
      <c r="G172" s="72" t="s">
        <v>204</v>
      </c>
      <c r="H172" s="21"/>
    </row>
    <row r="173" spans="1:8" x14ac:dyDescent="0.2">
      <c r="A173" s="108" t="s">
        <v>13</v>
      </c>
      <c r="B173" s="107" t="s">
        <v>237</v>
      </c>
      <c r="C173" s="70" t="s">
        <v>516</v>
      </c>
      <c r="D173" s="70" t="s">
        <v>214</v>
      </c>
      <c r="E173" s="22" t="s">
        <v>97</v>
      </c>
      <c r="F173" s="21"/>
      <c r="G173" s="72" t="s">
        <v>204</v>
      </c>
      <c r="H173" s="21"/>
    </row>
    <row r="174" spans="1:8" x14ac:dyDescent="0.2">
      <c r="A174" s="108" t="s">
        <v>13</v>
      </c>
      <c r="B174" s="107" t="s">
        <v>275</v>
      </c>
      <c r="C174" s="70" t="s">
        <v>276</v>
      </c>
      <c r="D174" s="70" t="s">
        <v>277</v>
      </c>
      <c r="E174" s="22" t="s">
        <v>92</v>
      </c>
      <c r="F174" s="21"/>
      <c r="G174" s="72" t="s">
        <v>204</v>
      </c>
      <c r="H174" s="21"/>
    </row>
    <row r="175" spans="1:8" x14ac:dyDescent="0.2">
      <c r="A175" s="108" t="s">
        <v>11</v>
      </c>
      <c r="B175" s="107" t="s">
        <v>275</v>
      </c>
      <c r="C175" s="70" t="s">
        <v>452</v>
      </c>
      <c r="D175" s="70" t="s">
        <v>453</v>
      </c>
      <c r="E175" s="22" t="s">
        <v>97</v>
      </c>
      <c r="F175" s="21"/>
      <c r="G175" s="72" t="s">
        <v>204</v>
      </c>
      <c r="H175" s="21"/>
    </row>
    <row r="176" spans="1:8" x14ac:dyDescent="0.2">
      <c r="A176" s="108" t="s">
        <v>11</v>
      </c>
      <c r="B176" s="107" t="s">
        <v>275</v>
      </c>
      <c r="C176" s="70" t="s">
        <v>517</v>
      </c>
      <c r="D176" s="70" t="s">
        <v>278</v>
      </c>
      <c r="E176" s="22" t="s">
        <v>97</v>
      </c>
      <c r="F176" s="21"/>
      <c r="G176" s="72" t="s">
        <v>204</v>
      </c>
      <c r="H176" s="21"/>
    </row>
    <row r="177" spans="1:8" x14ac:dyDescent="0.2">
      <c r="A177" s="108" t="s">
        <v>11</v>
      </c>
      <c r="B177" s="107" t="s">
        <v>275</v>
      </c>
      <c r="C177" s="70" t="s">
        <v>518</v>
      </c>
      <c r="D177" s="70" t="s">
        <v>519</v>
      </c>
      <c r="E177" s="22" t="s">
        <v>97</v>
      </c>
      <c r="F177" s="21"/>
      <c r="G177" s="72" t="s">
        <v>204</v>
      </c>
      <c r="H177" s="21"/>
    </row>
    <row r="178" spans="1:8" x14ac:dyDescent="0.2">
      <c r="A178" s="108" t="s">
        <v>13</v>
      </c>
      <c r="B178" s="107" t="s">
        <v>275</v>
      </c>
      <c r="C178" s="70" t="s">
        <v>279</v>
      </c>
      <c r="D178" s="70" t="s">
        <v>280</v>
      </c>
      <c r="E178" s="22" t="s">
        <v>92</v>
      </c>
      <c r="F178" s="21"/>
      <c r="G178" s="72" t="s">
        <v>204</v>
      </c>
      <c r="H178" s="21"/>
    </row>
    <row r="179" spans="1:8" x14ac:dyDescent="0.2">
      <c r="A179" s="108" t="s">
        <v>11</v>
      </c>
      <c r="B179" s="107" t="s">
        <v>275</v>
      </c>
      <c r="C179" s="70" t="s">
        <v>520</v>
      </c>
      <c r="D179" s="70" t="s">
        <v>424</v>
      </c>
      <c r="E179" s="22" t="s">
        <v>97</v>
      </c>
      <c r="F179" s="21"/>
      <c r="G179" s="72" t="s">
        <v>204</v>
      </c>
      <c r="H179" s="21"/>
    </row>
    <row r="180" spans="1:8" x14ac:dyDescent="0.2">
      <c r="A180" s="108" t="s">
        <v>11</v>
      </c>
      <c r="B180" s="107" t="s">
        <v>275</v>
      </c>
      <c r="C180" s="70" t="s">
        <v>521</v>
      </c>
      <c r="D180" s="70" t="s">
        <v>463</v>
      </c>
      <c r="E180" s="22" t="s">
        <v>97</v>
      </c>
      <c r="F180" s="21"/>
      <c r="G180" s="72" t="s">
        <v>204</v>
      </c>
      <c r="H180" s="21"/>
    </row>
    <row r="181" spans="1:8" x14ac:dyDescent="0.2">
      <c r="A181" s="108" t="s">
        <v>11</v>
      </c>
      <c r="B181" s="107" t="s">
        <v>275</v>
      </c>
      <c r="C181" s="70" t="s">
        <v>522</v>
      </c>
      <c r="D181" s="70" t="s">
        <v>523</v>
      </c>
      <c r="E181" s="22" t="s">
        <v>97</v>
      </c>
      <c r="F181" s="21"/>
      <c r="G181" s="72" t="s">
        <v>204</v>
      </c>
      <c r="H181" s="21"/>
    </row>
    <row r="182" spans="1:8" x14ac:dyDescent="0.2">
      <c r="A182" s="108" t="s">
        <v>13</v>
      </c>
      <c r="B182" s="107" t="s">
        <v>275</v>
      </c>
      <c r="C182" s="70" t="s">
        <v>281</v>
      </c>
      <c r="D182" s="70" t="s">
        <v>282</v>
      </c>
      <c r="E182" s="22" t="s">
        <v>92</v>
      </c>
      <c r="F182" s="21"/>
      <c r="G182" s="72" t="s">
        <v>204</v>
      </c>
      <c r="H182" s="21"/>
    </row>
    <row r="183" spans="1:8" x14ac:dyDescent="0.2">
      <c r="A183" s="108" t="s">
        <v>11</v>
      </c>
      <c r="B183" s="107" t="s">
        <v>275</v>
      </c>
      <c r="C183" s="70" t="s">
        <v>527</v>
      </c>
      <c r="D183" s="70" t="s">
        <v>528</v>
      </c>
      <c r="E183" s="22" t="s">
        <v>97</v>
      </c>
      <c r="F183" s="21"/>
      <c r="G183" s="72" t="s">
        <v>204</v>
      </c>
      <c r="H183" s="21"/>
    </row>
    <row r="184" spans="1:8" x14ac:dyDescent="0.2">
      <c r="A184" s="108" t="s">
        <v>11</v>
      </c>
      <c r="B184" s="107" t="s">
        <v>275</v>
      </c>
      <c r="C184" s="70" t="s">
        <v>526</v>
      </c>
      <c r="D184" s="70" t="s">
        <v>432</v>
      </c>
      <c r="E184" s="22" t="s">
        <v>97</v>
      </c>
      <c r="F184" s="21"/>
      <c r="G184" s="72" t="s">
        <v>204</v>
      </c>
      <c r="H184" s="21"/>
    </row>
    <row r="185" spans="1:8" x14ac:dyDescent="0.2">
      <c r="A185" s="108" t="s">
        <v>11</v>
      </c>
      <c r="B185" s="107" t="s">
        <v>275</v>
      </c>
      <c r="C185" s="70" t="s">
        <v>283</v>
      </c>
      <c r="D185" s="70" t="s">
        <v>284</v>
      </c>
      <c r="E185" s="22" t="s">
        <v>97</v>
      </c>
      <c r="F185" s="21"/>
      <c r="G185" s="72" t="s">
        <v>204</v>
      </c>
      <c r="H185" s="21"/>
    </row>
    <row r="186" spans="1:8" x14ac:dyDescent="0.2">
      <c r="A186" s="108" t="s">
        <v>11</v>
      </c>
      <c r="B186" s="107" t="s">
        <v>275</v>
      </c>
      <c r="C186" s="70" t="s">
        <v>524</v>
      </c>
      <c r="D186" s="70" t="s">
        <v>525</v>
      </c>
      <c r="E186" s="22" t="s">
        <v>97</v>
      </c>
      <c r="F186" s="21"/>
      <c r="G186" s="72" t="s">
        <v>204</v>
      </c>
      <c r="H186" s="21"/>
    </row>
    <row r="187" spans="1:8" x14ac:dyDescent="0.2">
      <c r="A187" s="108" t="s">
        <v>11</v>
      </c>
      <c r="B187" s="107" t="s">
        <v>275</v>
      </c>
      <c r="C187" s="70" t="s">
        <v>285</v>
      </c>
      <c r="D187" s="70" t="s">
        <v>246</v>
      </c>
      <c r="E187" s="22" t="s">
        <v>97</v>
      </c>
      <c r="F187" s="21"/>
      <c r="G187" s="72" t="s">
        <v>204</v>
      </c>
      <c r="H187" s="21"/>
    </row>
    <row r="188" spans="1:8" x14ac:dyDescent="0.2">
      <c r="A188" s="108" t="s">
        <v>13</v>
      </c>
      <c r="B188" s="107" t="s">
        <v>275</v>
      </c>
      <c r="C188" s="70" t="s">
        <v>286</v>
      </c>
      <c r="D188" s="70" t="s">
        <v>287</v>
      </c>
      <c r="E188" s="22" t="s">
        <v>92</v>
      </c>
      <c r="F188" s="21"/>
      <c r="G188" s="72" t="s">
        <v>204</v>
      </c>
      <c r="H188" s="21"/>
    </row>
    <row r="189" spans="1:8" x14ac:dyDescent="0.2">
      <c r="A189" s="108" t="s">
        <v>11</v>
      </c>
      <c r="B189" s="107" t="s">
        <v>275</v>
      </c>
      <c r="C189" s="70" t="s">
        <v>529</v>
      </c>
      <c r="D189" s="70" t="s">
        <v>530</v>
      </c>
      <c r="E189" s="22" t="s">
        <v>97</v>
      </c>
      <c r="F189" s="21"/>
      <c r="G189" s="72" t="s">
        <v>204</v>
      </c>
      <c r="H189" s="21"/>
    </row>
    <row r="190" spans="1:8" x14ac:dyDescent="0.2">
      <c r="A190" s="108" t="s">
        <v>11</v>
      </c>
      <c r="B190" s="107" t="s">
        <v>275</v>
      </c>
      <c r="C190" s="70" t="s">
        <v>531</v>
      </c>
      <c r="D190" s="70" t="s">
        <v>532</v>
      </c>
      <c r="E190" s="22" t="s">
        <v>97</v>
      </c>
      <c r="F190" s="21"/>
      <c r="G190" s="72" t="s">
        <v>204</v>
      </c>
      <c r="H190" s="21"/>
    </row>
    <row r="191" spans="1:8" x14ac:dyDescent="0.2">
      <c r="A191" s="108" t="s">
        <v>11</v>
      </c>
      <c r="B191" s="107" t="s">
        <v>275</v>
      </c>
      <c r="C191" s="70" t="s">
        <v>533</v>
      </c>
      <c r="D191" s="70" t="s">
        <v>534</v>
      </c>
      <c r="E191" s="22" t="s">
        <v>97</v>
      </c>
      <c r="F191" s="21"/>
      <c r="G191" s="72" t="s">
        <v>204</v>
      </c>
      <c r="H191" s="21"/>
    </row>
    <row r="192" spans="1:8" x14ac:dyDescent="0.2">
      <c r="A192" s="108" t="s">
        <v>13</v>
      </c>
      <c r="B192" s="107" t="s">
        <v>275</v>
      </c>
      <c r="C192" s="70" t="s">
        <v>288</v>
      </c>
      <c r="D192" s="70" t="s">
        <v>289</v>
      </c>
      <c r="E192" s="22" t="s">
        <v>90</v>
      </c>
      <c r="F192" s="21"/>
      <c r="G192" s="72" t="s">
        <v>204</v>
      </c>
      <c r="H192" s="21"/>
    </row>
    <row r="193" spans="1:8" x14ac:dyDescent="0.2">
      <c r="A193" s="108" t="s">
        <v>13</v>
      </c>
      <c r="B193" s="107" t="s">
        <v>275</v>
      </c>
      <c r="C193" s="70" t="s">
        <v>535</v>
      </c>
      <c r="D193" s="70" t="s">
        <v>536</v>
      </c>
      <c r="E193" s="22" t="s">
        <v>97</v>
      </c>
      <c r="F193" s="21"/>
      <c r="G193" s="72" t="s">
        <v>204</v>
      </c>
      <c r="H193" s="21"/>
    </row>
    <row r="194" spans="1:8" x14ac:dyDescent="0.2">
      <c r="A194" s="108" t="s">
        <v>13</v>
      </c>
      <c r="B194" s="107" t="s">
        <v>275</v>
      </c>
      <c r="C194" s="70" t="s">
        <v>537</v>
      </c>
      <c r="D194" s="70" t="s">
        <v>538</v>
      </c>
      <c r="E194" s="22" t="s">
        <v>90</v>
      </c>
      <c r="F194" s="21"/>
      <c r="G194" s="72" t="s">
        <v>204</v>
      </c>
      <c r="H194" s="21"/>
    </row>
    <row r="195" spans="1:8" x14ac:dyDescent="0.2">
      <c r="A195" s="108" t="s">
        <v>11</v>
      </c>
      <c r="B195" s="107" t="s">
        <v>275</v>
      </c>
      <c r="C195" s="70" t="s">
        <v>539</v>
      </c>
      <c r="D195" s="70" t="s">
        <v>538</v>
      </c>
      <c r="E195" s="22" t="s">
        <v>97</v>
      </c>
      <c r="F195" s="21"/>
      <c r="G195" s="72" t="s">
        <v>204</v>
      </c>
      <c r="H195" s="21"/>
    </row>
    <row r="196" spans="1:8" x14ac:dyDescent="0.2">
      <c r="A196" s="108" t="s">
        <v>11</v>
      </c>
      <c r="B196" s="107" t="s">
        <v>275</v>
      </c>
      <c r="C196" s="70" t="s">
        <v>290</v>
      </c>
      <c r="D196" s="70" t="s">
        <v>540</v>
      </c>
      <c r="E196" s="22" t="s">
        <v>97</v>
      </c>
      <c r="F196" s="21"/>
      <c r="G196" s="72" t="s">
        <v>204</v>
      </c>
      <c r="H196" s="21"/>
    </row>
    <row r="197" spans="1:8" x14ac:dyDescent="0.2">
      <c r="A197" s="108"/>
      <c r="B197" s="107" t="s">
        <v>275</v>
      </c>
      <c r="C197" s="70" t="s">
        <v>543</v>
      </c>
      <c r="D197" s="70" t="s">
        <v>544</v>
      </c>
      <c r="E197" s="22" t="s">
        <v>97</v>
      </c>
      <c r="F197" s="21"/>
      <c r="G197" s="72" t="s">
        <v>204</v>
      </c>
      <c r="H197" s="21"/>
    </row>
    <row r="198" spans="1:8" x14ac:dyDescent="0.2">
      <c r="A198" s="108" t="s">
        <v>11</v>
      </c>
      <c r="B198" s="107" t="s">
        <v>275</v>
      </c>
      <c r="C198" s="70" t="s">
        <v>542</v>
      </c>
      <c r="D198" s="70" t="s">
        <v>541</v>
      </c>
      <c r="E198" s="22" t="s">
        <v>97</v>
      </c>
      <c r="F198" s="21"/>
      <c r="G198" s="72" t="s">
        <v>204</v>
      </c>
      <c r="H198" s="21"/>
    </row>
    <row r="199" spans="1:8" x14ac:dyDescent="0.2">
      <c r="A199" s="108" t="s">
        <v>11</v>
      </c>
      <c r="B199" s="107" t="s">
        <v>275</v>
      </c>
      <c r="C199" s="70" t="s">
        <v>291</v>
      </c>
      <c r="D199" s="70" t="s">
        <v>278</v>
      </c>
      <c r="E199" s="22" t="s">
        <v>97</v>
      </c>
      <c r="F199" s="21"/>
      <c r="G199" s="72" t="s">
        <v>204</v>
      </c>
      <c r="H199" s="21"/>
    </row>
    <row r="200" spans="1:8" x14ac:dyDescent="0.2">
      <c r="A200" s="108" t="s">
        <v>13</v>
      </c>
      <c r="B200" s="107" t="s">
        <v>275</v>
      </c>
      <c r="C200" s="70" t="s">
        <v>292</v>
      </c>
      <c r="D200" s="70" t="s">
        <v>293</v>
      </c>
      <c r="E200" s="22" t="s">
        <v>92</v>
      </c>
      <c r="F200" s="21"/>
      <c r="G200" s="72" t="s">
        <v>204</v>
      </c>
      <c r="H200" s="21"/>
    </row>
    <row r="201" spans="1:8" x14ac:dyDescent="0.2">
      <c r="A201" s="108" t="s">
        <v>11</v>
      </c>
      <c r="B201" s="107" t="s">
        <v>275</v>
      </c>
      <c r="C201" s="70" t="s">
        <v>294</v>
      </c>
      <c r="D201" s="70" t="s">
        <v>536</v>
      </c>
      <c r="E201" s="22" t="s">
        <v>97</v>
      </c>
      <c r="F201" s="21"/>
      <c r="G201" s="72" t="s">
        <v>204</v>
      </c>
      <c r="H201" s="21"/>
    </row>
    <row r="202" spans="1:8" x14ac:dyDescent="0.2">
      <c r="A202" s="108" t="s">
        <v>11</v>
      </c>
      <c r="B202" s="107" t="s">
        <v>275</v>
      </c>
      <c r="C202" s="70" t="s">
        <v>549</v>
      </c>
      <c r="D202" s="70" t="s">
        <v>432</v>
      </c>
      <c r="E202" s="22" t="s">
        <v>97</v>
      </c>
      <c r="F202" s="21"/>
      <c r="G202" s="72" t="s">
        <v>204</v>
      </c>
      <c r="H202" s="21"/>
    </row>
    <row r="203" spans="1:8" x14ac:dyDescent="0.2">
      <c r="A203" s="108" t="s">
        <v>13</v>
      </c>
      <c r="B203" s="107" t="s">
        <v>275</v>
      </c>
      <c r="C203" s="70" t="s">
        <v>295</v>
      </c>
      <c r="D203" s="70" t="s">
        <v>536</v>
      </c>
      <c r="E203" s="22" t="s">
        <v>90</v>
      </c>
      <c r="F203" s="21"/>
      <c r="G203" s="72" t="s">
        <v>204</v>
      </c>
      <c r="H203" s="21"/>
    </row>
    <row r="204" spans="1:8" x14ac:dyDescent="0.2">
      <c r="A204" s="108" t="s">
        <v>13</v>
      </c>
      <c r="B204" s="107" t="s">
        <v>275</v>
      </c>
      <c r="C204" s="70" t="s">
        <v>545</v>
      </c>
      <c r="D204" s="70" t="s">
        <v>546</v>
      </c>
      <c r="E204" s="22" t="s">
        <v>90</v>
      </c>
      <c r="F204" s="21"/>
      <c r="G204" s="72" t="s">
        <v>204</v>
      </c>
      <c r="H204" s="21"/>
    </row>
    <row r="205" spans="1:8" x14ac:dyDescent="0.2">
      <c r="A205" s="108" t="s">
        <v>11</v>
      </c>
      <c r="B205" s="107" t="s">
        <v>275</v>
      </c>
      <c r="C205" s="70" t="s">
        <v>547</v>
      </c>
      <c r="D205" s="70" t="s">
        <v>548</v>
      </c>
      <c r="E205" s="22" t="s">
        <v>97</v>
      </c>
      <c r="F205" s="21"/>
      <c r="G205" s="72" t="s">
        <v>204</v>
      </c>
      <c r="H205" s="21"/>
    </row>
    <row r="206" spans="1:8" x14ac:dyDescent="0.2">
      <c r="A206" s="108" t="s">
        <v>11</v>
      </c>
      <c r="B206" s="107" t="s">
        <v>275</v>
      </c>
      <c r="C206" s="70" t="s">
        <v>296</v>
      </c>
      <c r="D206" s="70" t="s">
        <v>297</v>
      </c>
      <c r="E206" s="22" t="s">
        <v>97</v>
      </c>
      <c r="F206" s="21"/>
      <c r="G206" s="72" t="s">
        <v>204</v>
      </c>
      <c r="H206" s="21"/>
    </row>
    <row r="207" spans="1:8" x14ac:dyDescent="0.2">
      <c r="A207" s="108" t="s">
        <v>11</v>
      </c>
      <c r="B207" s="107" t="s">
        <v>275</v>
      </c>
      <c r="C207" s="70" t="s">
        <v>551</v>
      </c>
      <c r="D207" s="70" t="s">
        <v>552</v>
      </c>
      <c r="E207" s="22" t="s">
        <v>92</v>
      </c>
      <c r="F207" s="21"/>
      <c r="G207" s="72" t="s">
        <v>204</v>
      </c>
      <c r="H207" s="21"/>
    </row>
    <row r="208" spans="1:8" x14ac:dyDescent="0.2">
      <c r="A208" s="108" t="s">
        <v>11</v>
      </c>
      <c r="B208" s="107" t="s">
        <v>275</v>
      </c>
      <c r="C208" s="70" t="s">
        <v>550</v>
      </c>
      <c r="D208" s="70" t="s">
        <v>432</v>
      </c>
      <c r="E208" s="22" t="s">
        <v>97</v>
      </c>
      <c r="F208" s="21"/>
      <c r="G208" s="72" t="s">
        <v>204</v>
      </c>
      <c r="H208" s="21"/>
    </row>
    <row r="209" spans="1:8" x14ac:dyDescent="0.2">
      <c r="A209" s="108" t="s">
        <v>11</v>
      </c>
      <c r="B209" s="107" t="s">
        <v>275</v>
      </c>
      <c r="C209" s="70" t="s">
        <v>298</v>
      </c>
      <c r="D209" s="70" t="s">
        <v>278</v>
      </c>
      <c r="E209" s="22" t="s">
        <v>97</v>
      </c>
      <c r="F209" s="21"/>
      <c r="G209" s="72" t="s">
        <v>204</v>
      </c>
      <c r="H209" s="21"/>
    </row>
    <row r="210" spans="1:8" x14ac:dyDescent="0.2">
      <c r="A210" s="108" t="s">
        <v>13</v>
      </c>
      <c r="B210" s="107" t="s">
        <v>275</v>
      </c>
      <c r="C210" s="70" t="s">
        <v>299</v>
      </c>
      <c r="D210" s="70" t="s">
        <v>246</v>
      </c>
      <c r="E210" s="22" t="s">
        <v>92</v>
      </c>
      <c r="F210" s="21"/>
      <c r="G210" s="72" t="s">
        <v>204</v>
      </c>
      <c r="H210" s="21"/>
    </row>
    <row r="211" spans="1:8" x14ac:dyDescent="0.2">
      <c r="A211" s="108" t="s">
        <v>13</v>
      </c>
      <c r="B211" s="107" t="s">
        <v>275</v>
      </c>
      <c r="C211" s="70" t="s">
        <v>389</v>
      </c>
      <c r="D211" s="70" t="s">
        <v>371</v>
      </c>
      <c r="E211" s="22" t="s">
        <v>92</v>
      </c>
      <c r="F211" s="21"/>
      <c r="G211" s="72" t="s">
        <v>204</v>
      </c>
      <c r="H211" s="21"/>
    </row>
    <row r="212" spans="1:8" x14ac:dyDescent="0.2">
      <c r="A212" s="108" t="s">
        <v>13</v>
      </c>
      <c r="B212" s="107" t="s">
        <v>275</v>
      </c>
      <c r="C212" s="70" t="s">
        <v>387</v>
      </c>
      <c r="D212" s="70" t="s">
        <v>388</v>
      </c>
      <c r="E212" s="22" t="s">
        <v>92</v>
      </c>
      <c r="F212" s="21"/>
      <c r="G212" s="72" t="s">
        <v>204</v>
      </c>
      <c r="H212" s="21"/>
    </row>
    <row r="213" spans="1:8" x14ac:dyDescent="0.2">
      <c r="A213" s="108" t="s">
        <v>11</v>
      </c>
      <c r="B213" s="107" t="s">
        <v>275</v>
      </c>
      <c r="C213" s="70" t="s">
        <v>336</v>
      </c>
      <c r="D213" s="70" t="s">
        <v>217</v>
      </c>
      <c r="E213" s="22" t="s">
        <v>97</v>
      </c>
      <c r="F213" s="21"/>
      <c r="G213" s="72" t="s">
        <v>204</v>
      </c>
      <c r="H213" s="21"/>
    </row>
    <row r="214" spans="1:8" x14ac:dyDescent="0.2">
      <c r="A214" s="108" t="s">
        <v>13</v>
      </c>
      <c r="B214" s="107" t="s">
        <v>275</v>
      </c>
      <c r="C214" s="70" t="s">
        <v>337</v>
      </c>
      <c r="D214" s="70" t="s">
        <v>338</v>
      </c>
      <c r="E214" s="22" t="s">
        <v>88</v>
      </c>
      <c r="F214" s="21"/>
      <c r="G214" s="72" t="s">
        <v>204</v>
      </c>
      <c r="H214" s="21"/>
    </row>
    <row r="215" spans="1:8" x14ac:dyDescent="0.2">
      <c r="A215" s="108" t="s">
        <v>11</v>
      </c>
      <c r="B215" s="107" t="s">
        <v>275</v>
      </c>
      <c r="C215" s="70" t="s">
        <v>343</v>
      </c>
      <c r="D215" s="70" t="s">
        <v>344</v>
      </c>
      <c r="E215" s="22" t="s">
        <v>97</v>
      </c>
      <c r="F215" s="21"/>
      <c r="G215" s="72" t="s">
        <v>204</v>
      </c>
      <c r="H215" s="21"/>
    </row>
    <row r="216" spans="1:8" x14ac:dyDescent="0.2">
      <c r="A216" s="108" t="s">
        <v>11</v>
      </c>
      <c r="B216" s="107" t="s">
        <v>275</v>
      </c>
      <c r="C216" s="70" t="s">
        <v>345</v>
      </c>
      <c r="D216" s="70" t="s">
        <v>346</v>
      </c>
      <c r="E216" s="22" t="s">
        <v>97</v>
      </c>
      <c r="F216" s="21"/>
      <c r="G216" s="72" t="s">
        <v>204</v>
      </c>
      <c r="H216" s="21"/>
    </row>
    <row r="217" spans="1:8" x14ac:dyDescent="0.2">
      <c r="A217" s="69"/>
      <c r="B217" s="69" t="s">
        <v>308</v>
      </c>
      <c r="C217" s="69"/>
      <c r="D217" s="69"/>
      <c r="E217" s="69"/>
      <c r="F217" s="69"/>
      <c r="G217" s="69"/>
      <c r="H217" s="69"/>
    </row>
    <row r="218" spans="1:8" x14ac:dyDescent="0.2">
      <c r="A218" s="108" t="s">
        <v>11</v>
      </c>
      <c r="B218" s="111" t="s">
        <v>238</v>
      </c>
      <c r="C218" s="38" t="s">
        <v>309</v>
      </c>
      <c r="D218" s="21" t="s">
        <v>310</v>
      </c>
      <c r="E218" s="22" t="s">
        <v>97</v>
      </c>
      <c r="F218" s="21"/>
      <c r="G218" s="72" t="s">
        <v>204</v>
      </c>
      <c r="H218" s="21"/>
    </row>
    <row r="219" spans="1:8" x14ac:dyDescent="0.2">
      <c r="A219" s="108" t="s">
        <v>11</v>
      </c>
      <c r="B219" s="111" t="s">
        <v>238</v>
      </c>
      <c r="C219" s="70" t="s">
        <v>475</v>
      </c>
      <c r="D219" s="21" t="s">
        <v>476</v>
      </c>
      <c r="E219" s="22" t="s">
        <v>97</v>
      </c>
      <c r="F219" s="21"/>
      <c r="G219" s="72" t="s">
        <v>204</v>
      </c>
      <c r="H219" s="21"/>
    </row>
    <row r="220" spans="1:8" x14ac:dyDescent="0.2">
      <c r="A220" s="108" t="s">
        <v>13</v>
      </c>
      <c r="B220" s="111" t="s">
        <v>238</v>
      </c>
      <c r="C220" s="38" t="s">
        <v>477</v>
      </c>
      <c r="D220" s="21" t="s">
        <v>478</v>
      </c>
      <c r="E220" s="22" t="s">
        <v>92</v>
      </c>
      <c r="F220" s="21"/>
      <c r="G220" s="72" t="s">
        <v>204</v>
      </c>
      <c r="H220" s="21"/>
    </row>
    <row r="221" spans="1:8" x14ac:dyDescent="0.2">
      <c r="A221" s="108" t="s">
        <v>11</v>
      </c>
      <c r="B221" s="111" t="s">
        <v>238</v>
      </c>
      <c r="C221" s="38" t="s">
        <v>479</v>
      </c>
      <c r="D221" s="21" t="s">
        <v>480</v>
      </c>
      <c r="E221" s="22" t="s">
        <v>97</v>
      </c>
      <c r="F221" s="21"/>
      <c r="G221" s="72" t="s">
        <v>204</v>
      </c>
      <c r="H221" s="21"/>
    </row>
    <row r="222" spans="1:8" x14ac:dyDescent="0.2">
      <c r="A222" s="108" t="s">
        <v>13</v>
      </c>
      <c r="B222" s="111" t="s">
        <v>238</v>
      </c>
      <c r="C222" s="38" t="s">
        <v>320</v>
      </c>
      <c r="D222" s="21" t="s">
        <v>468</v>
      </c>
      <c r="E222" s="22" t="s">
        <v>97</v>
      </c>
      <c r="F222" s="21"/>
      <c r="G222" s="72" t="s">
        <v>204</v>
      </c>
      <c r="H222" s="21"/>
    </row>
    <row r="223" spans="1:8" x14ac:dyDescent="0.2">
      <c r="A223" s="108" t="s">
        <v>11</v>
      </c>
      <c r="B223" s="111" t="s">
        <v>238</v>
      </c>
      <c r="C223" s="38" t="s">
        <v>311</v>
      </c>
      <c r="D223" s="21" t="s">
        <v>314</v>
      </c>
      <c r="E223" s="22" t="s">
        <v>97</v>
      </c>
      <c r="F223" s="21"/>
      <c r="G223" s="72" t="s">
        <v>204</v>
      </c>
      <c r="H223" s="21"/>
    </row>
    <row r="224" spans="1:8" x14ac:dyDescent="0.2">
      <c r="A224" s="108" t="s">
        <v>13</v>
      </c>
      <c r="B224" s="111" t="s">
        <v>238</v>
      </c>
      <c r="C224" s="38" t="s">
        <v>317</v>
      </c>
      <c r="D224" s="21" t="s">
        <v>318</v>
      </c>
      <c r="E224" s="22" t="s">
        <v>92</v>
      </c>
      <c r="F224" s="21"/>
      <c r="G224" s="72" t="s">
        <v>204</v>
      </c>
      <c r="H224" s="21"/>
    </row>
    <row r="225" spans="1:8" x14ac:dyDescent="0.2">
      <c r="A225" s="108" t="s">
        <v>11</v>
      </c>
      <c r="B225" s="111" t="s">
        <v>238</v>
      </c>
      <c r="C225" s="38" t="s">
        <v>553</v>
      </c>
      <c r="D225" s="21" t="s">
        <v>554</v>
      </c>
      <c r="E225" s="22" t="s">
        <v>97</v>
      </c>
      <c r="F225" s="21"/>
      <c r="G225" s="72" t="s">
        <v>204</v>
      </c>
      <c r="H225" s="21"/>
    </row>
    <row r="226" spans="1:8" x14ac:dyDescent="0.2">
      <c r="A226" s="108" t="s">
        <v>11</v>
      </c>
      <c r="B226" s="111" t="s">
        <v>238</v>
      </c>
      <c r="C226" s="38" t="s">
        <v>312</v>
      </c>
      <c r="D226" s="21" t="s">
        <v>313</v>
      </c>
      <c r="E226" s="22" t="s">
        <v>97</v>
      </c>
      <c r="F226" s="21"/>
      <c r="G226" s="72" t="s">
        <v>204</v>
      </c>
      <c r="H226" s="21"/>
    </row>
    <row r="227" spans="1:8" x14ac:dyDescent="0.2">
      <c r="A227" s="108" t="s">
        <v>11</v>
      </c>
      <c r="B227" s="111" t="s">
        <v>238</v>
      </c>
      <c r="C227" s="38" t="s">
        <v>555</v>
      </c>
      <c r="D227" s="21" t="s">
        <v>556</v>
      </c>
      <c r="E227" s="22" t="s">
        <v>97</v>
      </c>
      <c r="F227" s="21"/>
      <c r="G227" s="72" t="s">
        <v>204</v>
      </c>
      <c r="H227" s="21"/>
    </row>
    <row r="228" spans="1:8" x14ac:dyDescent="0.2">
      <c r="A228" s="108" t="s">
        <v>11</v>
      </c>
      <c r="B228" s="111" t="s">
        <v>238</v>
      </c>
      <c r="C228" s="38" t="s">
        <v>559</v>
      </c>
      <c r="D228" s="21" t="s">
        <v>560</v>
      </c>
      <c r="E228" s="22" t="s">
        <v>97</v>
      </c>
      <c r="F228" s="21"/>
      <c r="G228" s="72" t="s">
        <v>204</v>
      </c>
      <c r="H228" s="21"/>
    </row>
    <row r="229" spans="1:8" x14ac:dyDescent="0.2">
      <c r="A229" s="108" t="s">
        <v>11</v>
      </c>
      <c r="B229" s="111" t="s">
        <v>238</v>
      </c>
      <c r="C229" s="38" t="s">
        <v>558</v>
      </c>
      <c r="D229" s="21" t="s">
        <v>432</v>
      </c>
      <c r="E229" s="22" t="s">
        <v>97</v>
      </c>
      <c r="F229" s="21"/>
      <c r="G229" s="72" t="s">
        <v>204</v>
      </c>
      <c r="H229" s="21"/>
    </row>
    <row r="230" spans="1:8" x14ac:dyDescent="0.2">
      <c r="A230" s="108" t="s">
        <v>11</v>
      </c>
      <c r="B230" s="111" t="s">
        <v>238</v>
      </c>
      <c r="C230" s="38" t="s">
        <v>315</v>
      </c>
      <c r="D230" s="21" t="s">
        <v>314</v>
      </c>
      <c r="E230" s="22" t="s">
        <v>97</v>
      </c>
      <c r="F230" s="21"/>
      <c r="G230" s="72" t="s">
        <v>204</v>
      </c>
      <c r="H230" s="21"/>
    </row>
    <row r="231" spans="1:8" x14ac:dyDescent="0.2">
      <c r="A231" s="108" t="s">
        <v>172</v>
      </c>
      <c r="B231" s="111" t="s">
        <v>238</v>
      </c>
      <c r="C231" s="38" t="s">
        <v>557</v>
      </c>
      <c r="D231" s="21" t="s">
        <v>316</v>
      </c>
      <c r="E231" s="22" t="s">
        <v>86</v>
      </c>
      <c r="F231" s="21"/>
      <c r="G231" s="72" t="s">
        <v>204</v>
      </c>
      <c r="H231" s="21"/>
    </row>
    <row r="232" spans="1:8" x14ac:dyDescent="0.2">
      <c r="A232" s="69"/>
      <c r="B232" s="69" t="s">
        <v>239</v>
      </c>
      <c r="C232" s="69"/>
      <c r="D232" s="69"/>
      <c r="E232" s="69"/>
      <c r="F232" s="69"/>
      <c r="G232" s="69"/>
      <c r="H232" s="69"/>
    </row>
    <row r="233" spans="1:8" x14ac:dyDescent="0.2">
      <c r="A233" s="21" t="s">
        <v>427</v>
      </c>
      <c r="B233" s="109" t="s">
        <v>239</v>
      </c>
      <c r="C233" s="70" t="s">
        <v>321</v>
      </c>
      <c r="D233" s="35" t="s">
        <v>468</v>
      </c>
      <c r="E233" s="22" t="s">
        <v>97</v>
      </c>
      <c r="F233" s="110"/>
      <c r="G233" s="72" t="s">
        <v>204</v>
      </c>
      <c r="H233" s="21"/>
    </row>
    <row r="234" spans="1:8" x14ac:dyDescent="0.2">
      <c r="A234" s="21" t="s">
        <v>427</v>
      </c>
      <c r="B234" s="109" t="s">
        <v>239</v>
      </c>
      <c r="C234" s="70" t="s">
        <v>561</v>
      </c>
      <c r="D234" s="35" t="s">
        <v>375</v>
      </c>
      <c r="E234" s="22" t="s">
        <v>97</v>
      </c>
      <c r="F234" s="110"/>
      <c r="G234" s="72" t="s">
        <v>204</v>
      </c>
      <c r="H234" s="21"/>
    </row>
    <row r="235" spans="1:8" x14ac:dyDescent="0.2">
      <c r="A235" s="21" t="s">
        <v>427</v>
      </c>
      <c r="B235" s="109" t="s">
        <v>239</v>
      </c>
      <c r="C235" s="70" t="s">
        <v>562</v>
      </c>
      <c r="D235" s="35" t="s">
        <v>563</v>
      </c>
      <c r="E235" s="22" t="s">
        <v>97</v>
      </c>
      <c r="F235" s="110"/>
      <c r="G235" s="72" t="s">
        <v>204</v>
      </c>
      <c r="H235" s="21"/>
    </row>
    <row r="236" spans="1:8" x14ac:dyDescent="0.2">
      <c r="A236" s="21" t="s">
        <v>427</v>
      </c>
      <c r="B236" s="109" t="s">
        <v>239</v>
      </c>
      <c r="C236" s="70" t="s">
        <v>564</v>
      </c>
      <c r="D236" s="35" t="s">
        <v>565</v>
      </c>
      <c r="E236" s="22" t="s">
        <v>97</v>
      </c>
      <c r="F236" s="110"/>
      <c r="G236" s="72" t="s">
        <v>204</v>
      </c>
      <c r="H236" s="21"/>
    </row>
    <row r="237" spans="1:8" x14ac:dyDescent="0.2">
      <c r="A237" s="108" t="s">
        <v>11</v>
      </c>
      <c r="B237" s="109" t="s">
        <v>239</v>
      </c>
      <c r="C237" s="70" t="s">
        <v>322</v>
      </c>
      <c r="D237" s="21" t="s">
        <v>323</v>
      </c>
      <c r="E237" s="22" t="s">
        <v>97</v>
      </c>
      <c r="F237" s="21"/>
      <c r="G237" s="72" t="s">
        <v>204</v>
      </c>
      <c r="H237" s="21"/>
    </row>
    <row r="238" spans="1:8" x14ac:dyDescent="0.2">
      <c r="A238" s="108" t="s">
        <v>11</v>
      </c>
      <c r="B238" s="109" t="s">
        <v>239</v>
      </c>
      <c r="C238" s="70" t="s">
        <v>324</v>
      </c>
      <c r="D238" s="21" t="s">
        <v>325</v>
      </c>
      <c r="E238" s="22" t="s">
        <v>97</v>
      </c>
      <c r="F238" s="21"/>
      <c r="G238" s="72" t="s">
        <v>204</v>
      </c>
      <c r="H238" s="21"/>
    </row>
    <row r="239" spans="1:8" x14ac:dyDescent="0.2">
      <c r="A239" s="108" t="s">
        <v>11</v>
      </c>
      <c r="B239" s="109" t="s">
        <v>239</v>
      </c>
      <c r="C239" s="70" t="s">
        <v>326</v>
      </c>
      <c r="D239" s="21" t="s">
        <v>327</v>
      </c>
      <c r="E239" s="22" t="s">
        <v>97</v>
      </c>
      <c r="F239" s="21"/>
      <c r="G239" s="72" t="s">
        <v>204</v>
      </c>
      <c r="H239" s="21"/>
    </row>
    <row r="240" spans="1:8" x14ac:dyDescent="0.2">
      <c r="A240" s="108" t="s">
        <v>11</v>
      </c>
      <c r="B240" s="109" t="s">
        <v>239</v>
      </c>
      <c r="C240" s="70" t="s">
        <v>328</v>
      </c>
      <c r="D240" s="21" t="s">
        <v>329</v>
      </c>
      <c r="E240" s="22" t="s">
        <v>97</v>
      </c>
      <c r="F240" s="21"/>
      <c r="G240" s="72" t="s">
        <v>204</v>
      </c>
      <c r="H240" s="21"/>
    </row>
    <row r="241" spans="1:8" x14ac:dyDescent="0.2">
      <c r="A241" s="108" t="s">
        <v>11</v>
      </c>
      <c r="B241" s="109" t="s">
        <v>239</v>
      </c>
      <c r="C241" s="70" t="s">
        <v>330</v>
      </c>
      <c r="D241" s="21" t="s">
        <v>331</v>
      </c>
      <c r="E241" s="22" t="s">
        <v>97</v>
      </c>
      <c r="F241" s="21"/>
      <c r="G241" s="72" t="s">
        <v>204</v>
      </c>
      <c r="H241" s="21"/>
    </row>
    <row r="242" spans="1:8" x14ac:dyDescent="0.2">
      <c r="A242" s="108" t="s">
        <v>11</v>
      </c>
      <c r="B242" s="109" t="s">
        <v>239</v>
      </c>
      <c r="C242" s="70" t="s">
        <v>332</v>
      </c>
      <c r="D242" s="21" t="s">
        <v>333</v>
      </c>
      <c r="E242" s="22" t="s">
        <v>97</v>
      </c>
      <c r="F242" s="21"/>
      <c r="G242" s="72" t="s">
        <v>204</v>
      </c>
      <c r="H242" s="21"/>
    </row>
    <row r="243" spans="1:8" x14ac:dyDescent="0.2">
      <c r="A243" s="108" t="s">
        <v>13</v>
      </c>
      <c r="B243" s="109" t="s">
        <v>239</v>
      </c>
      <c r="C243" s="70" t="s">
        <v>334</v>
      </c>
      <c r="D243" s="21" t="s">
        <v>335</v>
      </c>
      <c r="E243" s="22" t="s">
        <v>92</v>
      </c>
      <c r="F243" s="21"/>
      <c r="G243" s="72" t="s">
        <v>204</v>
      </c>
      <c r="H243" s="21"/>
    </row>
    <row r="244" spans="1:8" x14ac:dyDescent="0.2">
      <c r="A244" s="108" t="s">
        <v>11</v>
      </c>
      <c r="B244" s="109" t="s">
        <v>239</v>
      </c>
      <c r="C244" s="70" t="s">
        <v>339</v>
      </c>
      <c r="D244" s="21" t="s">
        <v>340</v>
      </c>
      <c r="E244" s="22" t="s">
        <v>97</v>
      </c>
      <c r="F244" s="21"/>
      <c r="G244" s="72" t="s">
        <v>204</v>
      </c>
      <c r="H244" s="21"/>
    </row>
    <row r="245" spans="1:8" x14ac:dyDescent="0.2">
      <c r="A245" s="108" t="s">
        <v>11</v>
      </c>
      <c r="B245" s="109" t="s">
        <v>239</v>
      </c>
      <c r="C245" s="70" t="s">
        <v>341</v>
      </c>
      <c r="D245" s="21" t="s">
        <v>342</v>
      </c>
      <c r="E245" s="22" t="s">
        <v>97</v>
      </c>
      <c r="F245" s="21"/>
      <c r="G245" s="72" t="s">
        <v>204</v>
      </c>
      <c r="H245" s="21"/>
    </row>
    <row r="246" spans="1:8" x14ac:dyDescent="0.2">
      <c r="A246" s="108" t="s">
        <v>13</v>
      </c>
      <c r="B246" s="109" t="s">
        <v>239</v>
      </c>
      <c r="C246" s="70" t="s">
        <v>347</v>
      </c>
      <c r="D246" s="21" t="s">
        <v>217</v>
      </c>
      <c r="E246" s="22" t="s">
        <v>97</v>
      </c>
      <c r="F246" s="21"/>
      <c r="G246" s="72" t="s">
        <v>204</v>
      </c>
      <c r="H246" s="21"/>
    </row>
    <row r="247" spans="1:8" x14ac:dyDescent="0.2">
      <c r="A247" s="108" t="s">
        <v>13</v>
      </c>
      <c r="B247" s="109" t="s">
        <v>239</v>
      </c>
      <c r="C247" s="70" t="s">
        <v>348</v>
      </c>
      <c r="D247" s="21" t="s">
        <v>349</v>
      </c>
      <c r="E247" s="22" t="s">
        <v>90</v>
      </c>
      <c r="F247" s="21"/>
      <c r="G247" s="72" t="s">
        <v>204</v>
      </c>
      <c r="H247" s="21"/>
    </row>
    <row r="248" spans="1:8" x14ac:dyDescent="0.2">
      <c r="A248" s="108" t="s">
        <v>13</v>
      </c>
      <c r="B248" s="109" t="s">
        <v>354</v>
      </c>
      <c r="C248" s="70" t="s">
        <v>350</v>
      </c>
      <c r="D248" s="21" t="s">
        <v>351</v>
      </c>
      <c r="E248" s="22" t="s">
        <v>90</v>
      </c>
      <c r="F248" s="21"/>
      <c r="G248" s="72" t="s">
        <v>204</v>
      </c>
      <c r="H248" s="21"/>
    </row>
    <row r="249" spans="1:8" x14ac:dyDescent="0.2">
      <c r="A249" s="108" t="s">
        <v>13</v>
      </c>
      <c r="B249" s="109" t="s">
        <v>354</v>
      </c>
      <c r="C249" s="70" t="s">
        <v>352</v>
      </c>
      <c r="D249" s="21" t="s">
        <v>353</v>
      </c>
      <c r="E249" s="22" t="s">
        <v>90</v>
      </c>
      <c r="F249" s="21"/>
      <c r="G249" s="72" t="s">
        <v>204</v>
      </c>
      <c r="H249" s="21"/>
    </row>
    <row r="250" spans="1:8" x14ac:dyDescent="0.2">
      <c r="A250" s="108" t="s">
        <v>11</v>
      </c>
      <c r="B250" s="109" t="s">
        <v>354</v>
      </c>
      <c r="C250" s="70" t="s">
        <v>568</v>
      </c>
      <c r="D250" s="21" t="s">
        <v>474</v>
      </c>
      <c r="E250" s="22" t="s">
        <v>97</v>
      </c>
      <c r="F250" s="21"/>
      <c r="G250" s="72" t="s">
        <v>204</v>
      </c>
      <c r="H250" s="21"/>
    </row>
    <row r="251" spans="1:8" x14ac:dyDescent="0.2">
      <c r="A251" s="108" t="s">
        <v>13</v>
      </c>
      <c r="B251" s="109" t="s">
        <v>354</v>
      </c>
      <c r="C251" s="70" t="s">
        <v>567</v>
      </c>
      <c r="D251" s="21" t="s">
        <v>214</v>
      </c>
      <c r="E251" s="22" t="s">
        <v>90</v>
      </c>
      <c r="F251" s="21"/>
      <c r="G251" s="72" t="s">
        <v>204</v>
      </c>
      <c r="H251" s="21"/>
    </row>
    <row r="252" spans="1:8" x14ac:dyDescent="0.2">
      <c r="A252" s="69"/>
      <c r="B252" s="69" t="s">
        <v>240</v>
      </c>
      <c r="C252" s="69"/>
      <c r="D252" s="69"/>
      <c r="E252" s="69"/>
      <c r="F252" s="69"/>
      <c r="G252" s="69"/>
      <c r="H252" s="69"/>
    </row>
    <row r="253" spans="1:8" x14ac:dyDescent="0.2">
      <c r="A253" s="108" t="s">
        <v>13</v>
      </c>
      <c r="B253" s="109" t="s">
        <v>355</v>
      </c>
      <c r="C253" s="38" t="s">
        <v>356</v>
      </c>
      <c r="D253" s="21" t="s">
        <v>319</v>
      </c>
      <c r="E253" s="22" t="s">
        <v>97</v>
      </c>
      <c r="F253" s="21"/>
      <c r="G253" s="72" t="s">
        <v>204</v>
      </c>
      <c r="H253" s="21"/>
    </row>
    <row r="254" spans="1:8" x14ac:dyDescent="0.2">
      <c r="A254" s="108" t="s">
        <v>13</v>
      </c>
      <c r="B254" s="109" t="s">
        <v>355</v>
      </c>
      <c r="C254" s="38" t="s">
        <v>357</v>
      </c>
      <c r="D254" s="21" t="s">
        <v>358</v>
      </c>
      <c r="E254" s="22" t="s">
        <v>92</v>
      </c>
      <c r="F254" s="21"/>
      <c r="G254" s="72" t="s">
        <v>204</v>
      </c>
      <c r="H254" s="21"/>
    </row>
    <row r="255" spans="1:8" x14ac:dyDescent="0.2">
      <c r="A255" s="108" t="s">
        <v>11</v>
      </c>
      <c r="B255" s="109" t="s">
        <v>355</v>
      </c>
      <c r="C255" s="38" t="s">
        <v>566</v>
      </c>
      <c r="D255" s="21" t="s">
        <v>499</v>
      </c>
      <c r="E255" s="22" t="s">
        <v>97</v>
      </c>
      <c r="F255" s="21"/>
      <c r="G255" s="72" t="s">
        <v>204</v>
      </c>
      <c r="H255" s="21"/>
    </row>
    <row r="256" spans="1:8" x14ac:dyDescent="0.2">
      <c r="A256" s="108" t="s">
        <v>11</v>
      </c>
      <c r="B256" s="109" t="s">
        <v>355</v>
      </c>
      <c r="C256" s="70" t="s">
        <v>564</v>
      </c>
      <c r="D256" s="21" t="s">
        <v>565</v>
      </c>
      <c r="E256" s="22" t="s">
        <v>97</v>
      </c>
      <c r="F256" s="21"/>
      <c r="G256" s="72" t="s">
        <v>204</v>
      </c>
      <c r="H256" s="21"/>
    </row>
    <row r="257" spans="1:8" x14ac:dyDescent="0.2">
      <c r="A257" s="108" t="s">
        <v>13</v>
      </c>
      <c r="B257" s="109" t="s">
        <v>355</v>
      </c>
      <c r="C257" s="38" t="s">
        <v>362</v>
      </c>
      <c r="D257" s="38" t="s">
        <v>363</v>
      </c>
      <c r="E257" s="22" t="s">
        <v>88</v>
      </c>
      <c r="F257" s="21"/>
      <c r="G257" s="72" t="s">
        <v>204</v>
      </c>
      <c r="H257" s="21"/>
    </row>
    <row r="258" spans="1:8" x14ac:dyDescent="0.2">
      <c r="A258" s="108" t="s">
        <v>13</v>
      </c>
      <c r="B258" s="109" t="s">
        <v>355</v>
      </c>
      <c r="C258" s="38" t="s">
        <v>364</v>
      </c>
      <c r="D258" s="21" t="s">
        <v>365</v>
      </c>
      <c r="E258" s="22" t="s">
        <v>90</v>
      </c>
      <c r="F258" s="21"/>
      <c r="G258" s="72" t="s">
        <v>204</v>
      </c>
      <c r="H258" s="21"/>
    </row>
    <row r="259" spans="1:8" x14ac:dyDescent="0.2">
      <c r="A259" s="108" t="s">
        <v>11</v>
      </c>
      <c r="B259" s="109" t="s">
        <v>355</v>
      </c>
      <c r="C259" s="70" t="s">
        <v>366</v>
      </c>
      <c r="D259" s="21" t="s">
        <v>367</v>
      </c>
      <c r="E259" s="22" t="s">
        <v>97</v>
      </c>
      <c r="F259" s="21"/>
      <c r="G259" s="72" t="s">
        <v>204</v>
      </c>
      <c r="H259" s="21"/>
    </row>
    <row r="260" spans="1:8" x14ac:dyDescent="0.2">
      <c r="A260" s="108" t="s">
        <v>11</v>
      </c>
      <c r="B260" s="109" t="s">
        <v>355</v>
      </c>
      <c r="C260" s="70" t="s">
        <v>368</v>
      </c>
      <c r="D260" s="21" t="s">
        <v>369</v>
      </c>
      <c r="E260" s="22" t="s">
        <v>97</v>
      </c>
      <c r="F260" s="21"/>
      <c r="G260" s="72" t="s">
        <v>204</v>
      </c>
      <c r="H260" s="21"/>
    </row>
    <row r="261" spans="1:8" x14ac:dyDescent="0.2">
      <c r="A261" s="108" t="s">
        <v>13</v>
      </c>
      <c r="B261" s="109" t="s">
        <v>355</v>
      </c>
      <c r="C261" s="70" t="s">
        <v>370</v>
      </c>
      <c r="D261" s="21" t="s">
        <v>371</v>
      </c>
      <c r="E261" s="22" t="s">
        <v>92</v>
      </c>
      <c r="F261" s="21"/>
      <c r="G261" s="72" t="s">
        <v>204</v>
      </c>
      <c r="H261" s="21"/>
    </row>
    <row r="262" spans="1:8" x14ac:dyDescent="0.2">
      <c r="A262" s="108" t="s">
        <v>13</v>
      </c>
      <c r="B262" s="109" t="s">
        <v>355</v>
      </c>
      <c r="C262" s="70" t="s">
        <v>372</v>
      </c>
      <c r="D262" s="21" t="s">
        <v>373</v>
      </c>
      <c r="E262" s="22" t="s">
        <v>92</v>
      </c>
      <c r="F262" s="21"/>
      <c r="G262" s="72" t="s">
        <v>204</v>
      </c>
      <c r="H262" s="21"/>
    </row>
    <row r="263" spans="1:8" x14ac:dyDescent="0.2">
      <c r="A263" s="108" t="s">
        <v>11</v>
      </c>
      <c r="B263" s="109" t="s">
        <v>355</v>
      </c>
      <c r="C263" s="70" t="s">
        <v>374</v>
      </c>
      <c r="D263" s="21" t="s">
        <v>375</v>
      </c>
      <c r="E263" s="22" t="s">
        <v>97</v>
      </c>
      <c r="F263" s="21"/>
      <c r="G263" s="72" t="s">
        <v>204</v>
      </c>
      <c r="H263" s="112"/>
    </row>
    <row r="264" spans="1:8" x14ac:dyDescent="0.2">
      <c r="H264" s="21"/>
    </row>
    <row r="265" spans="1:8" x14ac:dyDescent="0.2">
      <c r="H265" s="21"/>
    </row>
    <row r="266" spans="1:8" x14ac:dyDescent="0.2">
      <c r="H266" s="21"/>
    </row>
    <row r="267" spans="1:8" x14ac:dyDescent="0.2">
      <c r="H267" s="21"/>
    </row>
    <row r="268" spans="1:8" x14ac:dyDescent="0.2">
      <c r="H268" s="21"/>
    </row>
    <row r="269" spans="1:8" x14ac:dyDescent="0.2">
      <c r="H269" s="21"/>
    </row>
    <row r="270" spans="1:8" x14ac:dyDescent="0.2">
      <c r="H270" s="21"/>
    </row>
    <row r="271" spans="1:8" x14ac:dyDescent="0.2">
      <c r="H271" s="21"/>
    </row>
    <row r="272" spans="1:8" x14ac:dyDescent="0.2">
      <c r="H272" s="112"/>
    </row>
    <row r="274" spans="8:8" x14ac:dyDescent="0.2">
      <c r="H274" s="21"/>
    </row>
    <row r="275" spans="8:8" x14ac:dyDescent="0.2">
      <c r="H275" s="21"/>
    </row>
    <row r="276" spans="8:8" x14ac:dyDescent="0.2">
      <c r="H276" s="21"/>
    </row>
    <row r="277" spans="8:8" x14ac:dyDescent="0.2">
      <c r="H277" s="21"/>
    </row>
    <row r="278" spans="8:8" x14ac:dyDescent="0.2">
      <c r="H278" s="21"/>
    </row>
    <row r="279" spans="8:8" x14ac:dyDescent="0.2">
      <c r="H279" s="21"/>
    </row>
    <row r="280" spans="8:8" x14ac:dyDescent="0.2">
      <c r="H280" s="21"/>
    </row>
    <row r="281" spans="8:8" x14ac:dyDescent="0.2">
      <c r="H281" s="21"/>
    </row>
    <row r="282" spans="8:8" x14ac:dyDescent="0.2">
      <c r="H282" s="21"/>
    </row>
    <row r="283" spans="8:8" x14ac:dyDescent="0.2">
      <c r="H283" s="21"/>
    </row>
    <row r="284" spans="8:8" x14ac:dyDescent="0.2">
      <c r="H284" s="21"/>
    </row>
    <row r="285" spans="8:8" x14ac:dyDescent="0.2">
      <c r="H285" s="21"/>
    </row>
    <row r="286" spans="8:8" x14ac:dyDescent="0.2">
      <c r="H286" s="21"/>
    </row>
    <row r="287" spans="8:8" x14ac:dyDescent="0.2">
      <c r="H287" s="21"/>
    </row>
  </sheetData>
  <mergeCells count="36">
    <mergeCell ref="E19:F19"/>
    <mergeCell ref="G19:H19"/>
    <mergeCell ref="E20:F20"/>
    <mergeCell ref="G20:H20"/>
    <mergeCell ref="E16:F16"/>
    <mergeCell ref="G16:H16"/>
    <mergeCell ref="E17:F17"/>
    <mergeCell ref="G17:H17"/>
    <mergeCell ref="E18:F18"/>
    <mergeCell ref="G18:H18"/>
    <mergeCell ref="A9:B20"/>
    <mergeCell ref="C9:C20"/>
    <mergeCell ref="E9:F9"/>
    <mergeCell ref="G9:H9"/>
    <mergeCell ref="E10:F10"/>
    <mergeCell ref="G10:H10"/>
    <mergeCell ref="E11:F11"/>
    <mergeCell ref="G11:H11"/>
    <mergeCell ref="E12:F12"/>
    <mergeCell ref="G12:H12"/>
    <mergeCell ref="E13:F13"/>
    <mergeCell ref="G13:H13"/>
    <mergeCell ref="E14:F14"/>
    <mergeCell ref="G14:H14"/>
    <mergeCell ref="E15:F15"/>
    <mergeCell ref="G15:H15"/>
    <mergeCell ref="A1:B8"/>
    <mergeCell ref="C1:C8"/>
    <mergeCell ref="E1:H1"/>
    <mergeCell ref="E2:H2"/>
    <mergeCell ref="E3:H3"/>
    <mergeCell ref="E4:H4"/>
    <mergeCell ref="E5:H5"/>
    <mergeCell ref="E6:H6"/>
    <mergeCell ref="E7:H7"/>
    <mergeCell ref="E8:H8"/>
  </mergeCells>
  <phoneticPr fontId="34" type="noConversion"/>
  <conditionalFormatting sqref="D10:D19 E130:E216 E218:E231 E22:E128">
    <cfRule type="cellIs" dxfId="56" priority="496" operator="equal">
      <formula>"Minor"</formula>
    </cfRule>
    <cfRule type="cellIs" dxfId="55" priority="497" operator="equal">
      <formula>"Not implemented"</formula>
    </cfRule>
    <cfRule type="cellIs" dxfId="54" priority="498" operator="equal">
      <formula>"Not tested"</formula>
    </cfRule>
    <cfRule type="cellIs" dxfId="53" priority="499" operator="equal">
      <formula>"Not available"</formula>
    </cfRule>
    <cfRule type="cellIs" dxfId="52" priority="500" operator="equal">
      <formula>"Critical"</formula>
    </cfRule>
    <cfRule type="cellIs" dxfId="51" priority="501" operator="equal">
      <formula>"Major"</formula>
    </cfRule>
    <cfRule type="cellIs" dxfId="50" priority="502" operator="equal">
      <formula>"Average"</formula>
    </cfRule>
    <cfRule type="cellIs" dxfId="49" priority="503" operator="equal">
      <formula>"OK"</formula>
    </cfRule>
    <cfRule type="cellIs" dxfId="48" priority="504" operator="equal">
      <formula>"Enhancement"</formula>
    </cfRule>
    <cfRule type="cellIs" dxfId="47" priority="505" operator="equal">
      <formula>"Partially tested"</formula>
    </cfRule>
  </conditionalFormatting>
  <conditionalFormatting sqref="D2:H9 E10:H19 D20:H21 F22:H22 F76:F77 H76:H77 D130:D216 G130:G216 G218:G231 D232:H232 D252:H252 H263 H272 D46 D22:D41 D43 D48:D128 G23:G128">
    <cfRule type="cellIs" dxfId="46" priority="491" operator="equal">
      <formula>"not available"</formula>
    </cfRule>
    <cfRule type="cellIs" dxfId="45" priority="492" operator="equal">
      <formula>"not tested"</formula>
    </cfRule>
    <cfRule type="cellIs" dxfId="44" priority="493" operator="equal">
      <formula>"not implemented"</formula>
    </cfRule>
    <cfRule type="cellIs" dxfId="43" priority="494" operator="equal">
      <formula>"failed"</formula>
    </cfRule>
    <cfRule type="cellIs" dxfId="42" priority="495" operator="equal">
      <formula>"passed"</formula>
    </cfRule>
  </conditionalFormatting>
  <conditionalFormatting sqref="D129:H129">
    <cfRule type="cellIs" dxfId="41" priority="1" operator="equal">
      <formula>"not available"</formula>
    </cfRule>
    <cfRule type="cellIs" dxfId="40" priority="2" operator="equal">
      <formula>"not tested"</formula>
    </cfRule>
    <cfRule type="cellIs" dxfId="39" priority="3" operator="equal">
      <formula>"not implemented"</formula>
    </cfRule>
    <cfRule type="cellIs" dxfId="38" priority="4" operator="equal">
      <formula>"failed"</formula>
    </cfRule>
    <cfRule type="cellIs" dxfId="37" priority="5" operator="equal">
      <formula>"passed"</formula>
    </cfRule>
  </conditionalFormatting>
  <conditionalFormatting sqref="D217:H217">
    <cfRule type="cellIs" dxfId="36" priority="196" operator="equal">
      <formula>"not available"</formula>
    </cfRule>
    <cfRule type="cellIs" dxfId="35" priority="197" operator="equal">
      <formula>"not tested"</formula>
    </cfRule>
    <cfRule type="cellIs" dxfId="34" priority="198" operator="equal">
      <formula>"not implemented"</formula>
    </cfRule>
    <cfRule type="cellIs" dxfId="33" priority="199" operator="equal">
      <formula>"failed"</formula>
    </cfRule>
    <cfRule type="cellIs" dxfId="32" priority="200" operator="equal">
      <formula>"passed"</formula>
    </cfRule>
  </conditionalFormatting>
  <conditionalFormatting sqref="E233:E251">
    <cfRule type="cellIs" dxfId="31" priority="156" operator="equal">
      <formula>"Minor"</formula>
    </cfRule>
    <cfRule type="cellIs" dxfId="30" priority="157" operator="equal">
      <formula>"Not implemented"</formula>
    </cfRule>
    <cfRule type="cellIs" dxfId="29" priority="158" operator="equal">
      <formula>"Not tested"</formula>
    </cfRule>
    <cfRule type="cellIs" dxfId="28" priority="159" operator="equal">
      <formula>"Not available"</formula>
    </cfRule>
    <cfRule type="cellIs" dxfId="27" priority="160" operator="equal">
      <formula>"Critical"</formula>
    </cfRule>
    <cfRule type="cellIs" dxfId="26" priority="161" operator="equal">
      <formula>"Major"</formula>
    </cfRule>
    <cfRule type="cellIs" dxfId="25" priority="162" operator="equal">
      <formula>"Average"</formula>
    </cfRule>
    <cfRule type="cellIs" dxfId="24" priority="163" operator="equal">
      <formula>"OK"</formula>
    </cfRule>
    <cfRule type="cellIs" dxfId="23" priority="164" operator="equal">
      <formula>"Enhancement"</formula>
    </cfRule>
    <cfRule type="cellIs" dxfId="22" priority="165" operator="equal">
      <formula>"Partially tested"</formula>
    </cfRule>
  </conditionalFormatting>
  <conditionalFormatting sqref="E253:E263">
    <cfRule type="cellIs" dxfId="21" priority="356" operator="equal">
      <formula>"Minor"</formula>
    </cfRule>
    <cfRule type="cellIs" dxfId="20" priority="357" operator="equal">
      <formula>"Not implemented"</formula>
    </cfRule>
    <cfRule type="cellIs" dxfId="19" priority="358" operator="equal">
      <formula>"Not tested"</formula>
    </cfRule>
    <cfRule type="cellIs" dxfId="18" priority="359" operator="equal">
      <formula>"Not available"</formula>
    </cfRule>
    <cfRule type="cellIs" dxfId="17" priority="360" operator="equal">
      <formula>"Critical"</formula>
    </cfRule>
    <cfRule type="cellIs" dxfId="16" priority="361" operator="equal">
      <formula>"Major"</formula>
    </cfRule>
    <cfRule type="cellIs" dxfId="15" priority="362" operator="equal">
      <formula>"Average"</formula>
    </cfRule>
    <cfRule type="cellIs" dxfId="14" priority="363" operator="equal">
      <formula>"OK"</formula>
    </cfRule>
    <cfRule type="cellIs" dxfId="13" priority="364" operator="equal">
      <formula>"Enhancement"</formula>
    </cfRule>
    <cfRule type="cellIs" dxfId="12" priority="365" operator="equal">
      <formula>"Partially tested"</formula>
    </cfRule>
  </conditionalFormatting>
  <conditionalFormatting sqref="G233:G251 G253:G263">
    <cfRule type="cellIs" dxfId="11" priority="431" operator="equal">
      <formula>"not available"</formula>
    </cfRule>
    <cfRule type="cellIs" dxfId="10" priority="432" operator="equal">
      <formula>"not tested"</formula>
    </cfRule>
    <cfRule type="cellIs" dxfId="9" priority="433" operator="equal">
      <formula>"not implemented"</formula>
    </cfRule>
    <cfRule type="cellIs" dxfId="8" priority="434" operator="equal">
      <formula>"failed"</formula>
    </cfRule>
    <cfRule type="cellIs" dxfId="7" priority="435" operator="equal">
      <formula>"passed"</formula>
    </cfRule>
  </conditionalFormatting>
  <dataValidations count="7">
    <dataValidation type="list" allowBlank="1" showInputMessage="1" showErrorMessage="1" sqref="E218:E231 E130:E216 E233:E251 E253:E263 E22:E128" xr:uid="{C849939C-8A35-48DF-B47F-5DCF5006F269}">
      <formula1>$D$11:$D$20</formula1>
      <formula2>0</formula2>
    </dataValidation>
    <dataValidation type="list" allowBlank="1" showInputMessage="1" showErrorMessage="1" sqref="E6:H6" xr:uid="{1FD16DA5-CB22-47A9-8B62-24C74F75CED5}">
      <formula1>Environment_OS</formula1>
      <formula2>0</formula2>
    </dataValidation>
    <dataValidation type="list" allowBlank="1" showInputMessage="1" showErrorMessage="1" sqref="E5:H5" xr:uid="{5AFDD48F-5E48-4E82-B70E-AF84C0F5E727}">
      <formula1>Project_URL</formula1>
      <formula2>0</formula2>
    </dataValidation>
    <dataValidation type="list" allowBlank="1" showInputMessage="1" showErrorMessage="1" sqref="E4:H4" xr:uid="{D84D694A-AC79-4F65-B205-B136DEC95B63}">
      <formula1>Test_Team</formula1>
      <formula2>0</formula2>
    </dataValidation>
    <dataValidation type="list" allowBlank="1" showInputMessage="1" showErrorMessage="1" sqref="A22 A76:A77" xr:uid="{F98B9844-710D-4A01-9E01-266671F78945}">
      <formula1>Test_coverage</formula1>
      <formula2>0</formula2>
    </dataValidation>
    <dataValidation type="list" allowBlank="1" showInputMessage="1" showErrorMessage="1" sqref="E7:H7" xr:uid="{FD72AB43-9622-4957-8D0A-CACC85FDAB52}">
      <formula1>Browser_list</formula1>
      <formula2>0</formula2>
    </dataValidation>
    <dataValidation type="list" allowBlank="1" showInputMessage="1" showErrorMessage="1" sqref="E2:H2" xr:uid="{FAEC1BB6-599B-40F5-9EDA-8B593426AC04}">
      <formula1>Test_types</formula1>
      <formula2>0</formula2>
    </dataValidation>
  </dataValidations>
  <hyperlinks>
    <hyperlink ref="E5" r:id="rId1" display="https://infosystem.demohoster.com/" xr:uid="{5CD02969-00DF-4DE0-A488-DE631DC513C7}"/>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K38"/>
  <sheetViews>
    <sheetView zoomScale="130" zoomScaleNormal="130" workbookViewId="0">
      <selection activeCell="B12" sqref="B12"/>
    </sheetView>
  </sheetViews>
  <sheetFormatPr defaultRowHeight="12.75" x14ac:dyDescent="0.2"/>
  <cols>
    <col min="1" max="1" width="16.7109375" style="21" customWidth="1"/>
    <col min="2" max="2" width="19.85546875" style="21" customWidth="1"/>
    <col min="3" max="3" width="15.7109375" style="21" customWidth="1"/>
    <col min="4" max="5" width="20.7109375" style="21" customWidth="1"/>
    <col min="6" max="6" width="15.7109375" style="21" customWidth="1"/>
    <col min="7" max="7" width="9.140625" style="21" customWidth="1"/>
    <col min="8" max="8" width="19.140625" style="21" customWidth="1"/>
    <col min="9" max="9" width="10.140625" style="21" customWidth="1"/>
    <col min="10" max="10" width="20.85546875" style="21" customWidth="1"/>
    <col min="11" max="11" width="27" style="21" customWidth="1"/>
    <col min="12" max="1025" width="9.140625" style="21" customWidth="1"/>
  </cols>
  <sheetData>
    <row r="1" spans="1:11" s="4" customFormat="1" ht="48.95" customHeight="1" x14ac:dyDescent="0.2">
      <c r="A1" s="2" t="s">
        <v>0</v>
      </c>
      <c r="B1" s="3"/>
      <c r="C1" s="3"/>
      <c r="D1" s="3"/>
      <c r="E1" s="3"/>
      <c r="F1" s="3"/>
      <c r="J1" s="5"/>
    </row>
    <row r="2" spans="1:11" s="68" customFormat="1" ht="12" customHeight="1" x14ac:dyDescent="0.2">
      <c r="A2" s="73" t="s">
        <v>173</v>
      </c>
      <c r="B2" s="74" t="s">
        <v>174</v>
      </c>
      <c r="C2" s="132" t="s">
        <v>42</v>
      </c>
      <c r="D2" s="132"/>
      <c r="E2" s="132"/>
      <c r="F2" s="132"/>
      <c r="H2" s="75" t="s">
        <v>175</v>
      </c>
      <c r="J2" s="75" t="s">
        <v>158</v>
      </c>
      <c r="K2" s="75" t="s">
        <v>176</v>
      </c>
    </row>
    <row r="3" spans="1:11" ht="12" customHeight="1" x14ac:dyDescent="0.2">
      <c r="A3" s="133" t="s">
        <v>177</v>
      </c>
      <c r="B3" s="76" t="s">
        <v>141</v>
      </c>
      <c r="C3" s="134"/>
      <c r="D3" s="134"/>
      <c r="E3" s="134"/>
      <c r="F3" s="134"/>
      <c r="H3" s="77" t="s">
        <v>140</v>
      </c>
      <c r="J3" s="77" t="s">
        <v>178</v>
      </c>
      <c r="K3" s="78" t="s">
        <v>159</v>
      </c>
    </row>
    <row r="4" spans="1:11" ht="12" customHeight="1" x14ac:dyDescent="0.2">
      <c r="A4" s="133"/>
      <c r="B4" s="79" t="s">
        <v>142</v>
      </c>
      <c r="C4" s="134"/>
      <c r="D4" s="134"/>
      <c r="E4" s="134" t="s">
        <v>179</v>
      </c>
      <c r="F4" s="134"/>
      <c r="H4" s="80"/>
      <c r="J4" s="80" t="s">
        <v>180</v>
      </c>
      <c r="K4" s="81" t="s">
        <v>181</v>
      </c>
    </row>
    <row r="5" spans="1:11" ht="12" customHeight="1" x14ac:dyDescent="0.2">
      <c r="A5" s="133"/>
      <c r="B5" s="82" t="s">
        <v>182</v>
      </c>
      <c r="C5" s="134"/>
      <c r="D5" s="134"/>
      <c r="E5" s="134"/>
      <c r="F5" s="134"/>
      <c r="H5" s="80"/>
      <c r="J5" s="80" t="s">
        <v>183</v>
      </c>
      <c r="K5" s="81" t="s">
        <v>184</v>
      </c>
    </row>
    <row r="6" spans="1:11" ht="12" customHeight="1" x14ac:dyDescent="0.2">
      <c r="A6" s="133"/>
      <c r="B6" s="82" t="s">
        <v>161</v>
      </c>
      <c r="C6" s="134"/>
      <c r="D6" s="134"/>
      <c r="E6" s="134"/>
      <c r="F6" s="134"/>
      <c r="H6" s="80"/>
      <c r="J6" s="80" t="s">
        <v>185</v>
      </c>
      <c r="K6" s="81" t="s">
        <v>186</v>
      </c>
    </row>
    <row r="7" spans="1:11" ht="12" customHeight="1" x14ac:dyDescent="0.2">
      <c r="A7" s="133"/>
      <c r="B7" s="82" t="s">
        <v>187</v>
      </c>
      <c r="C7" s="134"/>
      <c r="D7" s="134"/>
      <c r="E7" s="134"/>
      <c r="F7" s="134"/>
      <c r="H7" s="80"/>
      <c r="J7" s="80"/>
      <c r="K7" s="80"/>
    </row>
    <row r="8" spans="1:11" ht="12" customHeight="1" x14ac:dyDescent="0.2">
      <c r="A8" s="133"/>
      <c r="B8" s="82" t="s">
        <v>188</v>
      </c>
      <c r="C8" s="134"/>
      <c r="D8" s="134"/>
      <c r="E8" s="134"/>
      <c r="F8" s="134"/>
      <c r="H8" s="80"/>
      <c r="J8" s="80"/>
      <c r="K8" s="80"/>
    </row>
    <row r="9" spans="1:11" ht="12" customHeight="1" x14ac:dyDescent="0.2">
      <c r="A9" s="133"/>
      <c r="B9" s="82" t="s">
        <v>143</v>
      </c>
      <c r="C9" s="134"/>
      <c r="D9" s="134"/>
      <c r="E9" s="134"/>
      <c r="F9" s="134"/>
      <c r="H9" s="80"/>
      <c r="J9" s="80"/>
      <c r="K9" s="80"/>
    </row>
    <row r="10" spans="1:11" ht="12" customHeight="1" x14ac:dyDescent="0.2">
      <c r="A10" s="133"/>
      <c r="B10" s="79"/>
      <c r="C10" s="134" t="s">
        <v>189</v>
      </c>
      <c r="D10" s="134"/>
      <c r="E10" s="134"/>
      <c r="F10" s="134"/>
      <c r="H10" s="80"/>
      <c r="J10" s="80"/>
      <c r="K10" s="80"/>
    </row>
    <row r="11" spans="1:11" ht="12" customHeight="1" x14ac:dyDescent="0.2">
      <c r="A11" s="133"/>
      <c r="B11" s="79"/>
      <c r="C11" s="134" t="s">
        <v>189</v>
      </c>
      <c r="D11" s="134"/>
      <c r="E11" s="134"/>
      <c r="F11" s="134"/>
      <c r="H11" s="80"/>
      <c r="J11" s="80"/>
      <c r="K11" s="80"/>
    </row>
    <row r="12" spans="1:11" ht="12" customHeight="1" x14ac:dyDescent="0.2">
      <c r="A12" s="139" t="s">
        <v>30</v>
      </c>
      <c r="B12" s="83" t="s">
        <v>147</v>
      </c>
      <c r="C12" s="140" t="s">
        <v>190</v>
      </c>
      <c r="D12" s="140"/>
      <c r="E12" s="140"/>
      <c r="F12" s="140"/>
      <c r="H12" s="84"/>
      <c r="J12" s="84"/>
      <c r="K12" s="84"/>
    </row>
    <row r="13" spans="1:11" ht="12" customHeight="1" x14ac:dyDescent="0.2">
      <c r="A13" s="139"/>
      <c r="B13" s="82" t="s">
        <v>144</v>
      </c>
      <c r="C13" s="141"/>
      <c r="D13" s="141"/>
      <c r="E13" s="141"/>
      <c r="F13" s="141"/>
      <c r="H13" s="84"/>
      <c r="J13" s="84"/>
      <c r="K13" s="84"/>
    </row>
    <row r="14" spans="1:11" ht="12" customHeight="1" x14ac:dyDescent="0.2">
      <c r="A14" s="139"/>
      <c r="B14" s="82" t="s">
        <v>191</v>
      </c>
      <c r="C14" s="142"/>
      <c r="D14" s="142"/>
      <c r="E14" s="142" t="s">
        <v>179</v>
      </c>
      <c r="F14" s="142"/>
      <c r="H14" s="84"/>
      <c r="J14" s="84"/>
      <c r="K14" s="84"/>
    </row>
    <row r="15" spans="1:11" ht="12" customHeight="1" x14ac:dyDescent="0.2">
      <c r="A15" s="139"/>
      <c r="B15" s="82" t="s">
        <v>192</v>
      </c>
      <c r="C15" s="142"/>
      <c r="D15" s="142"/>
      <c r="E15" s="142"/>
      <c r="F15" s="142"/>
      <c r="H15" s="84"/>
      <c r="J15" s="84"/>
      <c r="K15" s="84"/>
    </row>
    <row r="16" spans="1:11" ht="12" customHeight="1" x14ac:dyDescent="0.2">
      <c r="A16" s="139"/>
      <c r="B16" s="82" t="s">
        <v>146</v>
      </c>
      <c r="C16" s="142"/>
      <c r="D16" s="142"/>
      <c r="E16" s="142"/>
      <c r="F16" s="142"/>
      <c r="H16" s="84"/>
      <c r="J16" s="84"/>
      <c r="K16" s="84"/>
    </row>
    <row r="17" spans="1:11" ht="12" customHeight="1" x14ac:dyDescent="0.2">
      <c r="A17" s="139"/>
      <c r="B17" s="82" t="s">
        <v>193</v>
      </c>
      <c r="C17" s="142"/>
      <c r="D17" s="142"/>
      <c r="E17" s="142"/>
      <c r="F17" s="142"/>
      <c r="H17" s="80"/>
      <c r="J17" s="80"/>
      <c r="K17" s="80"/>
    </row>
    <row r="18" spans="1:11" ht="12" customHeight="1" x14ac:dyDescent="0.2">
      <c r="A18" s="139"/>
      <c r="B18" s="82" t="s">
        <v>145</v>
      </c>
      <c r="C18" s="142"/>
      <c r="D18" s="142"/>
      <c r="E18" s="142"/>
      <c r="F18" s="142"/>
      <c r="H18" s="80"/>
      <c r="J18" s="80"/>
      <c r="K18" s="80"/>
    </row>
    <row r="19" spans="1:11" ht="12" customHeight="1" x14ac:dyDescent="0.2">
      <c r="A19" s="139"/>
      <c r="B19" s="82" t="s">
        <v>194</v>
      </c>
      <c r="C19" s="142"/>
      <c r="D19" s="142"/>
      <c r="E19" s="142"/>
      <c r="F19" s="142"/>
      <c r="H19" s="80"/>
      <c r="J19" s="80"/>
      <c r="K19" s="80"/>
    </row>
    <row r="20" spans="1:11" ht="12" customHeight="1" x14ac:dyDescent="0.2">
      <c r="A20" s="139"/>
      <c r="B20" s="82" t="s">
        <v>195</v>
      </c>
      <c r="C20" s="142"/>
      <c r="D20" s="142"/>
      <c r="E20" s="142"/>
      <c r="F20" s="142"/>
      <c r="H20" s="80"/>
      <c r="J20" s="80"/>
      <c r="K20" s="80"/>
    </row>
    <row r="21" spans="1:11" ht="12" customHeight="1" x14ac:dyDescent="0.2">
      <c r="A21" s="139"/>
      <c r="B21" s="79"/>
      <c r="C21" s="142" t="s">
        <v>196</v>
      </c>
      <c r="D21" s="142"/>
      <c r="E21" s="142"/>
      <c r="F21" s="142"/>
      <c r="H21" s="80"/>
      <c r="J21" s="80"/>
      <c r="K21" s="80"/>
    </row>
    <row r="22" spans="1:11" ht="12" customHeight="1" x14ac:dyDescent="0.2">
      <c r="A22" s="139"/>
      <c r="B22" s="85"/>
      <c r="C22" s="143" t="s">
        <v>196</v>
      </c>
      <c r="D22" s="143"/>
      <c r="E22" s="143"/>
      <c r="F22" s="143"/>
      <c r="H22" s="80"/>
      <c r="J22" s="80"/>
      <c r="K22" s="80"/>
    </row>
    <row r="23" spans="1:11" ht="12" customHeight="1" x14ac:dyDescent="0.2">
      <c r="A23" s="135" t="s">
        <v>197</v>
      </c>
      <c r="B23" s="135"/>
      <c r="C23" s="135"/>
      <c r="D23" s="135"/>
      <c r="E23" s="135"/>
      <c r="F23" s="135"/>
      <c r="H23" s="80"/>
      <c r="J23" s="80"/>
      <c r="K23" s="80"/>
    </row>
    <row r="24" spans="1:11" ht="12" customHeight="1" x14ac:dyDescent="0.2">
      <c r="A24" s="136"/>
      <c r="B24" s="136"/>
      <c r="C24" s="136"/>
      <c r="D24" s="136"/>
      <c r="E24" s="136"/>
      <c r="F24" s="136"/>
      <c r="H24" s="86"/>
      <c r="J24" s="86"/>
      <c r="K24" s="86"/>
    </row>
    <row r="25" spans="1:11" ht="12" customHeight="1" x14ac:dyDescent="0.2">
      <c r="A25" s="87"/>
      <c r="B25" s="87"/>
      <c r="C25" s="87"/>
      <c r="D25" s="87"/>
      <c r="E25" s="87" t="s">
        <v>198</v>
      </c>
      <c r="F25" s="87"/>
    </row>
    <row r="26" spans="1:11" ht="12" customHeight="1" x14ac:dyDescent="0.2">
      <c r="A26" s="87"/>
      <c r="B26" s="87"/>
      <c r="C26" s="87"/>
      <c r="D26" s="87"/>
      <c r="E26" s="87"/>
      <c r="F26" s="87"/>
    </row>
    <row r="27" spans="1:11" ht="12" customHeight="1" x14ac:dyDescent="0.2">
      <c r="A27" s="137" t="s">
        <v>199</v>
      </c>
      <c r="B27" s="137"/>
      <c r="C27" s="88"/>
      <c r="D27" s="88"/>
      <c r="E27" s="88"/>
      <c r="F27" s="89"/>
    </row>
    <row r="28" spans="1:11" ht="12" customHeight="1" x14ac:dyDescent="0.2">
      <c r="A28" s="90" t="s">
        <v>200</v>
      </c>
      <c r="B28" s="91" t="s">
        <v>141</v>
      </c>
      <c r="C28" s="91"/>
      <c r="D28" s="91"/>
      <c r="E28" s="91"/>
      <c r="F28" s="92"/>
    </row>
    <row r="29" spans="1:11" ht="12" customHeight="1" x14ac:dyDescent="0.2">
      <c r="A29" s="90" t="s">
        <v>30</v>
      </c>
      <c r="B29" s="91" t="s">
        <v>144</v>
      </c>
      <c r="C29" s="91"/>
      <c r="D29" s="91"/>
      <c r="E29" s="91"/>
      <c r="F29" s="92"/>
    </row>
    <row r="30" spans="1:11" ht="12" customHeight="1" x14ac:dyDescent="0.2">
      <c r="A30" s="138" t="s">
        <v>201</v>
      </c>
      <c r="B30" s="138"/>
      <c r="C30" s="93"/>
      <c r="D30" s="93"/>
      <c r="E30" s="93"/>
      <c r="F30" s="94"/>
    </row>
    <row r="31" spans="1:11" ht="12" customHeight="1" x14ac:dyDescent="0.2">
      <c r="A31" s="95" t="s">
        <v>200</v>
      </c>
      <c r="B31" s="96" t="s">
        <v>30</v>
      </c>
      <c r="C31" s="96" t="s">
        <v>6</v>
      </c>
      <c r="D31" s="96" t="s">
        <v>165</v>
      </c>
      <c r="E31" s="96" t="s">
        <v>24</v>
      </c>
      <c r="F31" s="97" t="s">
        <v>34</v>
      </c>
    </row>
    <row r="32" spans="1:11" ht="12" customHeight="1" x14ac:dyDescent="0.2">
      <c r="A32" s="98" t="s">
        <v>188</v>
      </c>
      <c r="B32" s="99" t="s">
        <v>147</v>
      </c>
      <c r="C32" s="100" t="s">
        <v>202</v>
      </c>
      <c r="D32" s="99" t="s">
        <v>21</v>
      </c>
      <c r="E32" s="99" t="s">
        <v>203</v>
      </c>
      <c r="F32" s="101" t="s">
        <v>118</v>
      </c>
    </row>
    <row r="33" spans="1:6" ht="12" customHeight="1" x14ac:dyDescent="0.2">
      <c r="A33" s="98" t="s">
        <v>141</v>
      </c>
      <c r="B33" s="99" t="s">
        <v>194</v>
      </c>
      <c r="C33" s="100" t="s">
        <v>202</v>
      </c>
      <c r="D33" s="99" t="s">
        <v>21</v>
      </c>
      <c r="E33" s="99" t="s">
        <v>203</v>
      </c>
      <c r="F33" s="101" t="s">
        <v>120</v>
      </c>
    </row>
    <row r="34" spans="1:6" ht="12" customHeight="1" x14ac:dyDescent="0.2">
      <c r="A34" s="98" t="s">
        <v>161</v>
      </c>
      <c r="B34" s="99" t="s">
        <v>145</v>
      </c>
      <c r="C34" s="100" t="s">
        <v>202</v>
      </c>
      <c r="D34" s="99" t="s">
        <v>21</v>
      </c>
      <c r="E34" s="99" t="s">
        <v>203</v>
      </c>
      <c r="F34" s="101" t="s">
        <v>108</v>
      </c>
    </row>
    <row r="35" spans="1:6" ht="12" customHeight="1" x14ac:dyDescent="0.2">
      <c r="A35" s="102" t="s">
        <v>142</v>
      </c>
      <c r="B35" s="103" t="s">
        <v>194</v>
      </c>
      <c r="C35" s="104" t="s">
        <v>202</v>
      </c>
      <c r="D35" s="103" t="s">
        <v>21</v>
      </c>
      <c r="E35" s="104">
        <v>41249</v>
      </c>
      <c r="F35" s="105" t="s">
        <v>112</v>
      </c>
    </row>
    <row r="36" spans="1:6" ht="12" customHeight="1" x14ac:dyDescent="0.2">
      <c r="A36" s="106"/>
      <c r="B36" s="106"/>
      <c r="D36" s="106"/>
      <c r="E36" s="106"/>
      <c r="F36" s="106"/>
    </row>
    <row r="37" spans="1:6" ht="12" customHeight="1" x14ac:dyDescent="0.2">
      <c r="A37" s="106"/>
      <c r="B37" s="106"/>
      <c r="D37" s="106"/>
      <c r="E37" s="106"/>
      <c r="F37" s="106"/>
    </row>
    <row r="38" spans="1:6" ht="12" customHeight="1" x14ac:dyDescent="0.2">
      <c r="A38" s="106"/>
      <c r="B38" s="106"/>
      <c r="D38" s="106"/>
      <c r="E38" s="106"/>
      <c r="F38" s="106"/>
    </row>
  </sheetData>
  <mergeCells count="27">
    <mergeCell ref="A23:F23"/>
    <mergeCell ref="A24:F24"/>
    <mergeCell ref="A27:B27"/>
    <mergeCell ref="A30:B30"/>
    <mergeCell ref="A12:A22"/>
    <mergeCell ref="C12:F12"/>
    <mergeCell ref="C13:F13"/>
    <mergeCell ref="C14:F14"/>
    <mergeCell ref="C15:F15"/>
    <mergeCell ref="C16:F16"/>
    <mergeCell ref="C17:F17"/>
    <mergeCell ref="C18:F18"/>
    <mergeCell ref="C19:F19"/>
    <mergeCell ref="C20:F20"/>
    <mergeCell ref="C21:F21"/>
    <mergeCell ref="C22:F22"/>
    <mergeCell ref="C2:F2"/>
    <mergeCell ref="A3:A11"/>
    <mergeCell ref="C3:F3"/>
    <mergeCell ref="C4:F4"/>
    <mergeCell ref="C5:F5"/>
    <mergeCell ref="C6:F6"/>
    <mergeCell ref="C7:F7"/>
    <mergeCell ref="C8:F8"/>
    <mergeCell ref="C9:F9"/>
    <mergeCell ref="C10:F10"/>
    <mergeCell ref="C11:F11"/>
  </mergeCells>
  <conditionalFormatting sqref="A2:F43">
    <cfRule type="cellIs" dxfId="6" priority="2" operator="equal">
      <formula>"Not Acceptable"</formula>
    </cfRule>
    <cfRule type="cellIs" dxfId="5" priority="3" operator="equal">
      <formula>"Acceptable"</formula>
    </cfRule>
    <cfRule type="cellIs" dxfId="4" priority="4" operator="equal">
      <formula>"Low"</formula>
    </cfRule>
    <cfRule type="cellIs" dxfId="3" priority="5" operator="equal">
      <formula>"Below Medium"</formula>
    </cfRule>
    <cfRule type="cellIs" dxfId="2" priority="6" operator="equal">
      <formula>"Medium"</formula>
    </cfRule>
    <cfRule type="cellIs" dxfId="1" priority="7" operator="equal">
      <formula>"Above Medium"</formula>
    </cfRule>
    <cfRule type="cellIs" dxfId="0" priority="8" operator="equal">
      <formula>"High"</formula>
    </cfRule>
  </conditionalFormatting>
  <dataValidations count="5">
    <dataValidation type="list" allowBlank="1" showInputMessage="1" showErrorMessage="1" sqref="D32:D35" xr:uid="{00000000-0002-0000-0300-000000000000}">
      <formula1>Test_types</formula1>
      <formula2>0</formula2>
    </dataValidation>
    <dataValidation type="list" allowBlank="1" showInputMessage="1" showErrorMessage="1" sqref="F32:F35" xr:uid="{00000000-0002-0000-0300-000001000000}">
      <formula1>Quality_range</formula1>
      <formula2>0</formula2>
    </dataValidation>
    <dataValidation type="list" allowBlank="1" showInputMessage="1" showErrorMessage="1" sqref="B28 A32:A35" xr:uid="{00000000-0002-0000-0300-000002000000}">
      <formula1>Environment_OS</formula1>
      <formula2>0</formula2>
    </dataValidation>
    <dataValidation type="list" allowBlank="1" showInputMessage="1" showErrorMessage="1" sqref="B29" xr:uid="{00000000-0002-0000-0300-000003000000}">
      <formula1>Browser_list</formula1>
      <formula2>0</formula2>
    </dataValidation>
    <dataValidation type="list" allowBlank="1" showInputMessage="1" showErrorMessage="1" sqref="B32:B35" xr:uid="{00000000-0002-0000-0300-000004000000}">
      <formula1>$B$12:$B$22</formula1>
      <formula2>0</formula2>
    </dataValidation>
  </dataValidations>
  <hyperlinks>
    <hyperlink ref="K3" r:id="rId1" xr:uid="{00000000-0004-0000-0300-000000000000}"/>
    <hyperlink ref="K4" r:id="rId2" xr:uid="{00000000-0004-0000-0300-000001000000}"/>
    <hyperlink ref="K5" r:id="rId3" xr:uid="{00000000-0004-0000-0300-000002000000}"/>
    <hyperlink ref="K6" r:id="rId4" xr:uid="{00000000-0004-0000-0300-000003000000}"/>
  </hyperlink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91</TotalTime>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Description</vt:lpstr>
      <vt:lpstr>Build Info</vt:lpstr>
      <vt:lpstr>Work</vt:lpstr>
      <vt:lpstr>Testing Plan</vt:lpstr>
      <vt:lpstr>Browser_list</vt:lpstr>
      <vt:lpstr>Environment_OS</vt:lpstr>
      <vt:lpstr>Project_URL</vt:lpstr>
      <vt:lpstr>Quality_range</vt:lpstr>
      <vt:lpstr>Test_coverage</vt:lpstr>
      <vt:lpstr>Test_status</vt:lpstr>
      <vt:lpstr>Test_Team</vt:lpstr>
      <vt:lpstr>Test_types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DailyFitLog Acceptance sheet</cp:keywords>
  <dc:description/>
  <cp:lastModifiedBy>Farhana Islam Chowdhury</cp:lastModifiedBy>
  <cp:revision>21</cp:revision>
  <dcterms:created xsi:type="dcterms:W3CDTF">2007-06-26T08:13:00Z</dcterms:created>
  <dcterms:modified xsi:type="dcterms:W3CDTF">2025-05-05T18:43:03Z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
    <vt:lpwstr>Document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Owner">
    <vt:lpwstr/>
  </property>
  <property fmtid="{D5CDD505-2E9C-101B-9397-08002B2CF9AE}" pid="8" name="SPSDescription">
    <vt:lpwstr/>
  </property>
  <property fmtid="{D5CDD505-2E9C-101B-9397-08002B2CF9AE}" pid="9" name="ScaleCrop">
    <vt:bool>false</vt:bool>
  </property>
  <property fmtid="{D5CDD505-2E9C-101B-9397-08002B2CF9AE}" pid="10" name="ShareDoc">
    <vt:bool>false</vt:bool>
  </property>
  <property fmtid="{D5CDD505-2E9C-101B-9397-08002B2CF9AE}" pid="11" name="State">
    <vt:lpwstr>Active</vt:lpwstr>
  </property>
  <property fmtid="{D5CDD505-2E9C-101B-9397-08002B2CF9AE}" pid="12" name="Status">
    <vt:lpwstr/>
  </property>
</Properties>
</file>